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
    </mc:Choice>
  </mc:AlternateContent>
  <bookViews>
    <workbookView xWindow="-108" yWindow="-108" windowWidth="19416" windowHeight="10416" firstSheet="1" activeTab="9"/>
  </bookViews>
  <sheets>
    <sheet name="Comparativa - Fechas" sheetId="5" r:id="rId1"/>
    <sheet name="Ana" sheetId="1" r:id="rId2"/>
    <sheet name="Miguel" sheetId="3" r:id="rId3"/>
    <sheet name="Dias y horas" sheetId="9" r:id="rId4"/>
    <sheet name="Datos" sheetId="6" r:id="rId5"/>
    <sheet name="Datos CN" sheetId="8" r:id="rId6"/>
    <sheet name="Costos" sheetId="12" r:id="rId7"/>
    <sheet name="Comparativa" sheetId="10" r:id="rId8"/>
    <sheet name="Resumen" sheetId="11" r:id="rId9"/>
    <sheet name="Minutas" sheetId="7" r:id="rId10"/>
  </sheets>
  <functionGroups builtInGroupCount="18"/>
  <externalReferences>
    <externalReference r:id="rId11"/>
  </externalReferenc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7" l="1"/>
  <c r="F17" i="7"/>
  <c r="F4" i="6" l="1"/>
  <c r="L4" i="11" s="1"/>
  <c r="G14" i="12" l="1"/>
  <c r="G32" i="12" s="1"/>
  <c r="G12" i="12"/>
  <c r="G30" i="12" s="1"/>
  <c r="G11" i="12"/>
  <c r="G29" i="12" s="1"/>
  <c r="F60" i="12"/>
  <c r="D44" i="12"/>
  <c r="C44" i="12"/>
  <c r="G43" i="12"/>
  <c r="F43" i="12"/>
  <c r="E43" i="12"/>
  <c r="G42" i="12"/>
  <c r="F42" i="12"/>
  <c r="E42" i="12"/>
  <c r="F41" i="12"/>
  <c r="E41" i="12"/>
  <c r="G41" i="12" s="1"/>
  <c r="F40" i="12"/>
  <c r="F44" i="12" s="1"/>
  <c r="E49" i="12" s="1"/>
  <c r="E40" i="12"/>
  <c r="E44" i="12" s="1"/>
  <c r="C23" i="12"/>
  <c r="E22" i="12"/>
  <c r="G22" i="12" s="1"/>
  <c r="G21" i="12"/>
  <c r="J22" i="12" s="1"/>
  <c r="E21" i="12"/>
  <c r="E20" i="12"/>
  <c r="G20" i="12" s="1"/>
  <c r="D16" i="12"/>
  <c r="D34" i="12" s="1"/>
  <c r="C16" i="12"/>
  <c r="C34" i="12" s="1"/>
  <c r="B16" i="12"/>
  <c r="B34" i="12" s="1"/>
  <c r="G15" i="12"/>
  <c r="G33" i="12" s="1"/>
  <c r="D15" i="12"/>
  <c r="D33" i="12" s="1"/>
  <c r="C15" i="12"/>
  <c r="C33" i="12" s="1"/>
  <c r="B15" i="12"/>
  <c r="B33" i="12" s="1"/>
  <c r="D14" i="12"/>
  <c r="D32" i="12" s="1"/>
  <c r="C14" i="12"/>
  <c r="C32" i="12" s="1"/>
  <c r="B14" i="12"/>
  <c r="B32" i="12" s="1"/>
  <c r="G13" i="12"/>
  <c r="G31" i="12" s="1"/>
  <c r="D13" i="12"/>
  <c r="D31" i="12" s="1"/>
  <c r="C13" i="12"/>
  <c r="C31" i="12" s="1"/>
  <c r="B13" i="12"/>
  <c r="B31" i="12" s="1"/>
  <c r="D12" i="12"/>
  <c r="D30" i="12" s="1"/>
  <c r="C12" i="12"/>
  <c r="C30" i="12" s="1"/>
  <c r="B12" i="12"/>
  <c r="B30" i="12" s="1"/>
  <c r="D11" i="12"/>
  <c r="D29" i="12" s="1"/>
  <c r="C11" i="12"/>
  <c r="C29" i="12" s="1"/>
  <c r="B11" i="12"/>
  <c r="B29" i="12" s="1"/>
  <c r="I8" i="11"/>
  <c r="H8" i="11"/>
  <c r="I7" i="11"/>
  <c r="H7" i="11"/>
  <c r="I6" i="11"/>
  <c r="H6" i="11"/>
  <c r="I5" i="11"/>
  <c r="H5" i="11"/>
  <c r="I4" i="11"/>
  <c r="H4" i="11"/>
  <c r="D8" i="8"/>
  <c r="O4" i="8"/>
  <c r="N4" i="8"/>
  <c r="F6" i="8"/>
  <c r="F7" i="8"/>
  <c r="E9" i="8"/>
  <c r="O7" i="8"/>
  <c r="G9" i="8"/>
  <c r="F4" i="8"/>
  <c r="E6" i="8"/>
  <c r="P6" i="8"/>
  <c r="O6" i="8"/>
  <c r="N7" i="8"/>
  <c r="G5" i="8"/>
  <c r="D7" i="8"/>
  <c r="E8" i="8"/>
  <c r="O8" i="8"/>
  <c r="G7" i="8"/>
  <c r="N6" i="8"/>
  <c r="M4" i="8"/>
  <c r="E4" i="8"/>
  <c r="G6" i="8"/>
  <c r="P8" i="8"/>
  <c r="F8" i="8"/>
  <c r="E7" i="8"/>
  <c r="G4" i="8"/>
  <c r="P4" i="8"/>
  <c r="P7" i="8"/>
  <c r="D4" i="8"/>
  <c r="D6" i="8"/>
  <c r="N8" i="8"/>
  <c r="G8" i="8"/>
  <c r="E5" i="8"/>
  <c r="G34" i="12" l="1"/>
  <c r="C48" i="12" s="1"/>
  <c r="C51" i="12" s="1"/>
  <c r="C52" i="12" s="1"/>
  <c r="F14" i="12"/>
  <c r="F13" i="12"/>
  <c r="F12" i="12"/>
  <c r="E14" i="12"/>
  <c r="E13" i="12"/>
  <c r="F11" i="12"/>
  <c r="E11" i="12"/>
  <c r="G23" i="12"/>
  <c r="D50" i="12"/>
  <c r="G44" i="12"/>
  <c r="D49" i="12"/>
  <c r="F49" i="12" s="1"/>
  <c r="E23" i="12"/>
  <c r="E50" i="12"/>
  <c r="G16" i="12"/>
  <c r="G40" i="12"/>
  <c r="H6" i="8"/>
  <c r="H7" i="8"/>
  <c r="H8" i="8"/>
  <c r="H4" i="8"/>
  <c r="L9" i="8"/>
  <c r="K9" i="8"/>
  <c r="L8" i="8"/>
  <c r="K8" i="8"/>
  <c r="L7" i="8"/>
  <c r="K7" i="8"/>
  <c r="L6" i="8"/>
  <c r="K6" i="8"/>
  <c r="L5" i="8"/>
  <c r="K5" i="8"/>
  <c r="C9" i="8"/>
  <c r="B9" i="8"/>
  <c r="C8" i="8"/>
  <c r="B8" i="8"/>
  <c r="C7" i="8"/>
  <c r="B7" i="8"/>
  <c r="C6" i="8"/>
  <c r="B6" i="8"/>
  <c r="C5" i="8"/>
  <c r="B5" i="8"/>
  <c r="J8" i="6"/>
  <c r="I8" i="6"/>
  <c r="J7" i="6"/>
  <c r="I7" i="6"/>
  <c r="J6" i="6"/>
  <c r="I6" i="6"/>
  <c r="J5" i="6"/>
  <c r="I5" i="6"/>
  <c r="J4" i="6"/>
  <c r="I4" i="6"/>
  <c r="G4" i="11"/>
  <c r="G5" i="11"/>
  <c r="G6" i="11"/>
  <c r="G7" i="11"/>
  <c r="G8" i="1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M8" i="8"/>
  <c r="M6" i="8"/>
  <c r="M7" i="8"/>
  <c r="F50" i="12" l="1"/>
  <c r="C54" i="12"/>
  <c r="C53" i="12"/>
  <c r="G3" i="11"/>
  <c r="L4" i="10"/>
  <c r="D60" i="5"/>
  <c r="D8" i="5"/>
  <c r="B5" i="6"/>
  <c r="C61" i="12" l="1"/>
  <c r="C5" i="6"/>
  <c r="B7" i="6"/>
  <c r="C7" i="6"/>
  <c r="C8" i="6"/>
  <c r="B8" i="6"/>
  <c r="B6" i="6"/>
  <c r="C6" i="6"/>
  <c r="C4" i="6"/>
  <c r="B4" i="6"/>
  <c r="F70" i="5"/>
  <c r="F71" i="5"/>
  <c r="F72" i="5"/>
  <c r="F73" i="5"/>
  <c r="F74" i="5"/>
  <c r="F75" i="5"/>
  <c r="F76" i="5"/>
  <c r="F77" i="5"/>
  <c r="F78" i="5"/>
  <c r="F79" i="5"/>
  <c r="F80" i="5"/>
  <c r="F116" i="5"/>
  <c r="I7" i="9"/>
  <c r="I6" i="9"/>
  <c r="C62" i="12" l="1"/>
  <c r="F110" i="5"/>
  <c r="F111" i="5"/>
  <c r="F112" i="5"/>
  <c r="F113" i="5"/>
  <c r="F114" i="5"/>
  <c r="F115"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33" i="5"/>
  <c r="M3" i="7"/>
  <c r="M4" i="7"/>
  <c r="M5" i="7"/>
  <c r="M6" i="7" s="1"/>
  <c r="M2" i="7"/>
  <c r="F3" i="7"/>
  <c r="F4" i="7"/>
  <c r="F5" i="7"/>
  <c r="F6" i="7"/>
  <c r="F8" i="7"/>
  <c r="F9" i="7"/>
  <c r="F10" i="7"/>
  <c r="F11" i="7"/>
  <c r="F12" i="7"/>
  <c r="F13" i="7"/>
  <c r="F14" i="7"/>
  <c r="M20" i="7" s="1"/>
  <c r="F15" i="7"/>
  <c r="M19" i="7" s="1"/>
  <c r="F16" i="7"/>
  <c r="M21" i="7" s="1"/>
  <c r="F2" i="7"/>
  <c r="H6" i="9"/>
  <c r="C5" i="9"/>
  <c r="C6" i="9"/>
  <c r="C7" i="9"/>
  <c r="M18" i="7" l="1"/>
  <c r="F5" i="9"/>
  <c r="F18" i="7"/>
  <c r="D5" i="3"/>
  <c r="E5" i="5" s="1"/>
  <c r="D6" i="3"/>
  <c r="E6" i="5" s="1"/>
  <c r="D7" i="3"/>
  <c r="E7" i="5" s="1"/>
  <c r="D8" i="3"/>
  <c r="E8" i="5" s="1"/>
  <c r="D9" i="3"/>
  <c r="E9" i="5" s="1"/>
  <c r="D10" i="3"/>
  <c r="E10" i="5" s="1"/>
  <c r="D11" i="3"/>
  <c r="E11" i="5" s="1"/>
  <c r="D12" i="3"/>
  <c r="E12" i="5" s="1"/>
  <c r="D13" i="3"/>
  <c r="E13" i="5" s="1"/>
  <c r="D14" i="3"/>
  <c r="E14" i="5" s="1"/>
  <c r="D15" i="3"/>
  <c r="E15" i="5" s="1"/>
  <c r="D16" i="3"/>
  <c r="E16" i="5" s="1"/>
  <c r="D17" i="3"/>
  <c r="E17" i="5" s="1"/>
  <c r="D18" i="3"/>
  <c r="E18" i="5" s="1"/>
  <c r="D19" i="3"/>
  <c r="E19" i="5" s="1"/>
  <c r="D20" i="3"/>
  <c r="E20" i="5" s="1"/>
  <c r="D21" i="3"/>
  <c r="E21" i="5" s="1"/>
  <c r="D22" i="3"/>
  <c r="E22" i="5" s="1"/>
  <c r="D23" i="3"/>
  <c r="E23" i="5" s="1"/>
  <c r="D24" i="3"/>
  <c r="E24" i="5" s="1"/>
  <c r="D25" i="3"/>
  <c r="E25" i="5" s="1"/>
  <c r="D26" i="3"/>
  <c r="E26" i="5" s="1"/>
  <c r="D27" i="3"/>
  <c r="E27" i="5" s="1"/>
  <c r="D28" i="3"/>
  <c r="E28" i="5" s="1"/>
  <c r="D29" i="3"/>
  <c r="E29" i="5" s="1"/>
  <c r="D30" i="3"/>
  <c r="E30" i="5" s="1"/>
  <c r="D31" i="3"/>
  <c r="E31" i="5" s="1"/>
  <c r="D32" i="3"/>
  <c r="E32" i="5" s="1"/>
  <c r="D33" i="3"/>
  <c r="E33" i="5" s="1"/>
  <c r="D34" i="3"/>
  <c r="E34" i="5" s="1"/>
  <c r="D35" i="3"/>
  <c r="E35" i="5" s="1"/>
  <c r="D36" i="3"/>
  <c r="E36" i="5" s="1"/>
  <c r="D37" i="3"/>
  <c r="E37" i="5" s="1"/>
  <c r="D38" i="3"/>
  <c r="E38" i="5" s="1"/>
  <c r="D39" i="3"/>
  <c r="E39" i="5" s="1"/>
  <c r="D40" i="3"/>
  <c r="E40" i="5" s="1"/>
  <c r="D41" i="3"/>
  <c r="E41" i="5" s="1"/>
  <c r="D42" i="3"/>
  <c r="E42" i="5" s="1"/>
  <c r="D43" i="3"/>
  <c r="E43" i="5" s="1"/>
  <c r="D44" i="3"/>
  <c r="E44" i="5" s="1"/>
  <c r="D45" i="3"/>
  <c r="E45" i="5" s="1"/>
  <c r="D46" i="3"/>
  <c r="E46" i="5" s="1"/>
  <c r="D47" i="3"/>
  <c r="E47" i="5" s="1"/>
  <c r="D48" i="3"/>
  <c r="E48" i="5" s="1"/>
  <c r="D49" i="3"/>
  <c r="E49" i="5" s="1"/>
  <c r="D50" i="3"/>
  <c r="E50" i="5" s="1"/>
  <c r="D51" i="3"/>
  <c r="E51" i="5" s="1"/>
  <c r="D52" i="3"/>
  <c r="E52" i="5" s="1"/>
  <c r="D53" i="3"/>
  <c r="E53" i="5" s="1"/>
  <c r="D54" i="3"/>
  <c r="E54" i="5" s="1"/>
  <c r="D55" i="3"/>
  <c r="E55" i="5" s="1"/>
  <c r="D56" i="3"/>
  <c r="E56" i="5" s="1"/>
  <c r="D57" i="3"/>
  <c r="E57" i="5" s="1"/>
  <c r="D58" i="3"/>
  <c r="E58" i="5" s="1"/>
  <c r="D59" i="3"/>
  <c r="E59" i="5" s="1"/>
  <c r="D60" i="3"/>
  <c r="E60" i="5" s="1"/>
  <c r="D61" i="3"/>
  <c r="E61" i="5" s="1"/>
  <c r="D62" i="3"/>
  <c r="E62" i="5" s="1"/>
  <c r="D63" i="3"/>
  <c r="E63" i="5" s="1"/>
  <c r="D64" i="3"/>
  <c r="E64" i="5" s="1"/>
  <c r="D65" i="3"/>
  <c r="E65" i="5" s="1"/>
  <c r="D66" i="3"/>
  <c r="E66" i="5" s="1"/>
  <c r="D67" i="3"/>
  <c r="E67" i="5" s="1"/>
  <c r="D68" i="3"/>
  <c r="E68" i="5" s="1"/>
  <c r="D69" i="3"/>
  <c r="E69" i="5" s="1"/>
  <c r="D70" i="3"/>
  <c r="E70" i="5" s="1"/>
  <c r="D71" i="3"/>
  <c r="E71" i="5" s="1"/>
  <c r="D72" i="3"/>
  <c r="E72" i="5" s="1"/>
  <c r="D73" i="3"/>
  <c r="E73" i="5" s="1"/>
  <c r="D74" i="3"/>
  <c r="E74" i="5" s="1"/>
  <c r="D75" i="3"/>
  <c r="E75" i="5" s="1"/>
  <c r="D76" i="3"/>
  <c r="E76" i="5" s="1"/>
  <c r="D77" i="3"/>
  <c r="E77" i="5" s="1"/>
  <c r="D78" i="3"/>
  <c r="E78" i="5" s="1"/>
  <c r="D79" i="3"/>
  <c r="E79" i="5" s="1"/>
  <c r="D80" i="3"/>
  <c r="E80" i="5" s="1"/>
  <c r="D81" i="3"/>
  <c r="E81" i="5" s="1"/>
  <c r="D82" i="3"/>
  <c r="E82" i="5" s="1"/>
  <c r="D83" i="3"/>
  <c r="E83" i="5" s="1"/>
  <c r="D84" i="3"/>
  <c r="E84" i="5" s="1"/>
  <c r="D85" i="3"/>
  <c r="E85" i="5" s="1"/>
  <c r="D86" i="3"/>
  <c r="E86" i="5" s="1"/>
  <c r="D87" i="3"/>
  <c r="E87" i="5" s="1"/>
  <c r="D88" i="3"/>
  <c r="E88" i="5" s="1"/>
  <c r="D89" i="3"/>
  <c r="E89" i="5" s="1"/>
  <c r="D90" i="3"/>
  <c r="E90" i="5" s="1"/>
  <c r="D91" i="3"/>
  <c r="E91" i="5" s="1"/>
  <c r="D92" i="3"/>
  <c r="E92" i="5" s="1"/>
  <c r="D93" i="3"/>
  <c r="E93" i="5" s="1"/>
  <c r="D94" i="3"/>
  <c r="E94" i="5" s="1"/>
  <c r="D95" i="3"/>
  <c r="E95" i="5" s="1"/>
  <c r="D96" i="3"/>
  <c r="E96" i="5" s="1"/>
  <c r="D97" i="3"/>
  <c r="E97" i="5" s="1"/>
  <c r="D98" i="3"/>
  <c r="E98" i="5" s="1"/>
  <c r="D99" i="3"/>
  <c r="E99" i="5" s="1"/>
  <c r="D100" i="3"/>
  <c r="E100" i="5" s="1"/>
  <c r="D101" i="3"/>
  <c r="E101" i="5" s="1"/>
  <c r="D102" i="3"/>
  <c r="E102" i="5" s="1"/>
  <c r="D103" i="3"/>
  <c r="E103" i="5" s="1"/>
  <c r="D104" i="3"/>
  <c r="E104" i="5" s="1"/>
  <c r="D105" i="3"/>
  <c r="E105" i="5" s="1"/>
  <c r="D106" i="3"/>
  <c r="E106" i="5" s="1"/>
  <c r="D107" i="3"/>
  <c r="E107" i="5" s="1"/>
  <c r="D108" i="3"/>
  <c r="E108" i="5" s="1"/>
  <c r="D109" i="3"/>
  <c r="E109" i="5" s="1"/>
  <c r="D110" i="3"/>
  <c r="E110" i="5" s="1"/>
  <c r="D111" i="3"/>
  <c r="E111" i="5" s="1"/>
  <c r="D112" i="3"/>
  <c r="E112" i="5" s="1"/>
  <c r="D113" i="3"/>
  <c r="E113" i="5" s="1"/>
  <c r="D114" i="3"/>
  <c r="E114" i="5" s="1"/>
  <c r="D115" i="3"/>
  <c r="E115" i="5" s="1"/>
  <c r="D116" i="3"/>
  <c r="E116" i="5" s="1"/>
  <c r="D117" i="3"/>
  <c r="E117" i="5" s="1"/>
  <c r="D118" i="3"/>
  <c r="E118" i="5" s="1"/>
  <c r="D119" i="3"/>
  <c r="E119" i="5" s="1"/>
  <c r="D120" i="3"/>
  <c r="E120" i="5" s="1"/>
  <c r="D121" i="3"/>
  <c r="E121" i="5" s="1"/>
  <c r="D122" i="3"/>
  <c r="E122" i="5" s="1"/>
  <c r="D123" i="3"/>
  <c r="E123" i="5" s="1"/>
  <c r="D124" i="3"/>
  <c r="E124" i="5" s="1"/>
  <c r="D125" i="3"/>
  <c r="E125" i="5" s="1"/>
  <c r="D126" i="3"/>
  <c r="E126" i="5" s="1"/>
  <c r="D127" i="3"/>
  <c r="E127" i="5" s="1"/>
  <c r="D128" i="3"/>
  <c r="E128" i="5" s="1"/>
  <c r="D129" i="3"/>
  <c r="E129" i="5" s="1"/>
  <c r="D130" i="3"/>
  <c r="E130" i="5" s="1"/>
  <c r="D131" i="3"/>
  <c r="E131" i="5" s="1"/>
  <c r="D132" i="3"/>
  <c r="E132" i="5" s="1"/>
  <c r="D133" i="3"/>
  <c r="E133" i="5" s="1"/>
  <c r="D134" i="3"/>
  <c r="E134" i="5" s="1"/>
  <c r="D135" i="3"/>
  <c r="E135" i="5" s="1"/>
  <c r="D136" i="3"/>
  <c r="E136" i="5" s="1"/>
  <c r="D137" i="3"/>
  <c r="E137" i="5" s="1"/>
  <c r="D138" i="3"/>
  <c r="E138" i="5" s="1"/>
  <c r="D139" i="3"/>
  <c r="E139" i="5" s="1"/>
  <c r="D140" i="3"/>
  <c r="E140" i="5" s="1"/>
  <c r="D141" i="3"/>
  <c r="E141" i="5" s="1"/>
  <c r="D142" i="3"/>
  <c r="E142" i="5" s="1"/>
  <c r="D143" i="3"/>
  <c r="E143" i="5" s="1"/>
  <c r="D144" i="3"/>
  <c r="E144" i="5" s="1"/>
  <c r="D145" i="3"/>
  <c r="E145" i="5" s="1"/>
  <c r="D146" i="3"/>
  <c r="E146" i="5" s="1"/>
  <c r="D147" i="3"/>
  <c r="E147" i="5" s="1"/>
  <c r="D148" i="3"/>
  <c r="E148" i="5" s="1"/>
  <c r="D149" i="3"/>
  <c r="E149" i="5" s="1"/>
  <c r="D150" i="3"/>
  <c r="E150" i="5" s="1"/>
  <c r="D151" i="3"/>
  <c r="E151" i="5" s="1"/>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4" i="5"/>
  <c r="D5" i="5"/>
  <c r="D6" i="5"/>
  <c r="D7"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4" i="5"/>
  <c r="C5" i="5"/>
  <c r="I5" i="5" s="1"/>
  <c r="C6" i="5"/>
  <c r="I6" i="5" s="1"/>
  <c r="C7" i="5"/>
  <c r="I7" i="5" s="1"/>
  <c r="C8" i="5"/>
  <c r="C9" i="5"/>
  <c r="I9" i="5" s="1"/>
  <c r="C10" i="5"/>
  <c r="I10" i="5" s="1"/>
  <c r="C11" i="5"/>
  <c r="I11" i="5" s="1"/>
  <c r="C12" i="5"/>
  <c r="C13" i="5"/>
  <c r="I13" i="5" s="1"/>
  <c r="C14" i="5"/>
  <c r="I14" i="5" s="1"/>
  <c r="C15" i="5"/>
  <c r="I15" i="5" s="1"/>
  <c r="C16" i="5"/>
  <c r="C17" i="5"/>
  <c r="I17" i="5" s="1"/>
  <c r="C18" i="5"/>
  <c r="I18" i="5" s="1"/>
  <c r="C19" i="5"/>
  <c r="I19" i="5" s="1"/>
  <c r="C20" i="5"/>
  <c r="C21" i="5"/>
  <c r="I21" i="5" s="1"/>
  <c r="C22" i="5"/>
  <c r="I22" i="5" s="1"/>
  <c r="C23" i="5"/>
  <c r="I23" i="5" s="1"/>
  <c r="C24" i="5"/>
  <c r="C25" i="5"/>
  <c r="I25" i="5" s="1"/>
  <c r="C26" i="5"/>
  <c r="I26" i="5" s="1"/>
  <c r="C27" i="5"/>
  <c r="I27" i="5" s="1"/>
  <c r="C28" i="5"/>
  <c r="C29" i="5"/>
  <c r="I29" i="5" s="1"/>
  <c r="C30" i="5"/>
  <c r="I30" i="5" s="1"/>
  <c r="C31" i="5"/>
  <c r="I31" i="5" s="1"/>
  <c r="C32" i="5"/>
  <c r="C33" i="5"/>
  <c r="I33" i="5" s="1"/>
  <c r="C34" i="5"/>
  <c r="I34" i="5" s="1"/>
  <c r="C35" i="5"/>
  <c r="I35" i="5" s="1"/>
  <c r="C36" i="5"/>
  <c r="C37" i="5"/>
  <c r="I37" i="5" s="1"/>
  <c r="C38" i="5"/>
  <c r="I38" i="5" s="1"/>
  <c r="C39" i="5"/>
  <c r="I39" i="5" s="1"/>
  <c r="C40" i="5"/>
  <c r="C41" i="5"/>
  <c r="I41" i="5" s="1"/>
  <c r="C42" i="5"/>
  <c r="I42" i="5" s="1"/>
  <c r="C43" i="5"/>
  <c r="I43" i="5" s="1"/>
  <c r="C44" i="5"/>
  <c r="C45" i="5"/>
  <c r="I45" i="5" s="1"/>
  <c r="C46" i="5"/>
  <c r="I46" i="5" s="1"/>
  <c r="C47" i="5"/>
  <c r="I47" i="5" s="1"/>
  <c r="C48" i="5"/>
  <c r="C49" i="5"/>
  <c r="I49" i="5" s="1"/>
  <c r="C50" i="5"/>
  <c r="I50" i="5" s="1"/>
  <c r="C51" i="5"/>
  <c r="I51" i="5" s="1"/>
  <c r="C52" i="5"/>
  <c r="C53" i="5"/>
  <c r="I53" i="5" s="1"/>
  <c r="C54" i="5"/>
  <c r="I54" i="5" s="1"/>
  <c r="C55" i="5"/>
  <c r="I55" i="5" s="1"/>
  <c r="C56" i="5"/>
  <c r="C57" i="5"/>
  <c r="I57" i="5" s="1"/>
  <c r="C58" i="5"/>
  <c r="I58" i="5" s="1"/>
  <c r="C59" i="5"/>
  <c r="I59" i="5" s="1"/>
  <c r="C60" i="5"/>
  <c r="C61" i="5"/>
  <c r="I61" i="5" s="1"/>
  <c r="C62" i="5"/>
  <c r="I62" i="5" s="1"/>
  <c r="C63" i="5"/>
  <c r="I63" i="5" s="1"/>
  <c r="C64" i="5"/>
  <c r="C65" i="5"/>
  <c r="I65" i="5" s="1"/>
  <c r="C66" i="5"/>
  <c r="I66" i="5" s="1"/>
  <c r="C67" i="5"/>
  <c r="I67" i="5" s="1"/>
  <c r="C68" i="5"/>
  <c r="C69" i="5"/>
  <c r="I69" i="5" s="1"/>
  <c r="C70" i="5"/>
  <c r="I70" i="5" s="1"/>
  <c r="C71" i="5"/>
  <c r="I71" i="5" s="1"/>
  <c r="C72" i="5"/>
  <c r="C73" i="5"/>
  <c r="I73" i="5" s="1"/>
  <c r="C74" i="5"/>
  <c r="I74" i="5" s="1"/>
  <c r="C75" i="5"/>
  <c r="I75" i="5" s="1"/>
  <c r="C76" i="5"/>
  <c r="C77" i="5"/>
  <c r="I77" i="5" s="1"/>
  <c r="C78" i="5"/>
  <c r="I78" i="5" s="1"/>
  <c r="C79" i="5"/>
  <c r="I79" i="5" s="1"/>
  <c r="C80" i="5"/>
  <c r="C81" i="5"/>
  <c r="I81" i="5" s="1"/>
  <c r="C82" i="5"/>
  <c r="I82" i="5" s="1"/>
  <c r="C83" i="5"/>
  <c r="I83" i="5" s="1"/>
  <c r="C84" i="5"/>
  <c r="C85" i="5"/>
  <c r="I85" i="5" s="1"/>
  <c r="C86" i="5"/>
  <c r="I86" i="5" s="1"/>
  <c r="C87" i="5"/>
  <c r="I87" i="5" s="1"/>
  <c r="C88" i="5"/>
  <c r="C89" i="5"/>
  <c r="I89" i="5" s="1"/>
  <c r="C90" i="5"/>
  <c r="I90" i="5" s="1"/>
  <c r="C91" i="5"/>
  <c r="I91" i="5" s="1"/>
  <c r="C92" i="5"/>
  <c r="C93" i="5"/>
  <c r="I93" i="5" s="1"/>
  <c r="C94" i="5"/>
  <c r="I94" i="5" s="1"/>
  <c r="C95" i="5"/>
  <c r="I95" i="5" s="1"/>
  <c r="C96" i="5"/>
  <c r="C97" i="5"/>
  <c r="I97" i="5" s="1"/>
  <c r="C98" i="5"/>
  <c r="I98" i="5" s="1"/>
  <c r="C99" i="5"/>
  <c r="I99" i="5" s="1"/>
  <c r="C100" i="5"/>
  <c r="C101" i="5"/>
  <c r="I101" i="5" s="1"/>
  <c r="C102" i="5"/>
  <c r="I102" i="5" s="1"/>
  <c r="C103" i="5"/>
  <c r="C104" i="5"/>
  <c r="C105" i="5"/>
  <c r="C106" i="5"/>
  <c r="I106" i="5" s="1"/>
  <c r="C107" i="5"/>
  <c r="I107" i="5" s="1"/>
  <c r="C108" i="5"/>
  <c r="C109" i="5"/>
  <c r="I109" i="5" s="1"/>
  <c r="C110" i="5"/>
  <c r="I110" i="5" s="1"/>
  <c r="C111" i="5"/>
  <c r="I111" i="5" s="1"/>
  <c r="C112" i="5"/>
  <c r="C113" i="5"/>
  <c r="I113" i="5" s="1"/>
  <c r="C114" i="5"/>
  <c r="I114" i="5" s="1"/>
  <c r="C115" i="5"/>
  <c r="I115" i="5" s="1"/>
  <c r="C116" i="5"/>
  <c r="C117" i="5"/>
  <c r="I117" i="5" s="1"/>
  <c r="C118" i="5"/>
  <c r="I118" i="5" s="1"/>
  <c r="C119" i="5"/>
  <c r="I119" i="5" s="1"/>
  <c r="C120" i="5"/>
  <c r="C121" i="5"/>
  <c r="I121" i="5" s="1"/>
  <c r="C122" i="5"/>
  <c r="I122" i="5" s="1"/>
  <c r="C123" i="5"/>
  <c r="C124" i="5"/>
  <c r="C125" i="5"/>
  <c r="C126" i="5"/>
  <c r="I126" i="5" s="1"/>
  <c r="C127" i="5"/>
  <c r="I127" i="5" s="1"/>
  <c r="C128" i="5"/>
  <c r="C129" i="5"/>
  <c r="C130" i="5"/>
  <c r="C131" i="5"/>
  <c r="C132" i="5"/>
  <c r="C133" i="5"/>
  <c r="C134" i="5"/>
  <c r="C135" i="5"/>
  <c r="C136" i="5"/>
  <c r="C137" i="5"/>
  <c r="C138" i="5"/>
  <c r="C139" i="5"/>
  <c r="C140" i="5"/>
  <c r="C141" i="5"/>
  <c r="C142" i="5"/>
  <c r="C143" i="5"/>
  <c r="C144" i="5"/>
  <c r="C145" i="5"/>
  <c r="C146" i="5"/>
  <c r="C147" i="5"/>
  <c r="C148" i="5"/>
  <c r="C149" i="5"/>
  <c r="C150" i="5"/>
  <c r="C151" i="5"/>
  <c r="C4" i="5"/>
  <c r="P5" i="8"/>
  <c r="N5" i="8"/>
  <c r="F5" i="8"/>
  <c r="P9" i="8"/>
  <c r="E6" i="9"/>
  <c r="H7" i="9"/>
  <c r="D9" i="8"/>
  <c r="E7" i="9"/>
  <c r="D6" i="9"/>
  <c r="H5" i="9"/>
  <c r="E5" i="9"/>
  <c r="I5" i="9"/>
  <c r="O5" i="8"/>
  <c r="M9" i="8"/>
  <c r="M5" i="8"/>
  <c r="O9" i="8"/>
  <c r="F9" i="8"/>
  <c r="N9" i="8"/>
  <c r="D5" i="8"/>
  <c r="D5" i="9"/>
  <c r="D7" i="9"/>
  <c r="O10" i="8" l="1"/>
  <c r="M10" i="8"/>
  <c r="F10" i="8"/>
  <c r="D10" i="8"/>
  <c r="F16" i="12"/>
  <c r="F15" i="12"/>
  <c r="E16" i="12"/>
  <c r="E15" i="12"/>
  <c r="E12" i="12"/>
  <c r="I125" i="5"/>
  <c r="K7" i="6"/>
  <c r="I105" i="5"/>
  <c r="D7" i="6"/>
  <c r="K5" i="6"/>
  <c r="K3" i="6"/>
  <c r="D5" i="6"/>
  <c r="D3" i="6"/>
  <c r="I124" i="5"/>
  <c r="I120" i="5"/>
  <c r="I116" i="5"/>
  <c r="I112" i="5"/>
  <c r="I108" i="5"/>
  <c r="I104" i="5"/>
  <c r="I100" i="5"/>
  <c r="I96" i="5"/>
  <c r="I92" i="5"/>
  <c r="I88" i="5"/>
  <c r="I84" i="5"/>
  <c r="I80" i="5"/>
  <c r="I76" i="5"/>
  <c r="I72" i="5"/>
  <c r="I68" i="5"/>
  <c r="I64" i="5"/>
  <c r="I60" i="5"/>
  <c r="I56" i="5"/>
  <c r="I52" i="5"/>
  <c r="I48" i="5"/>
  <c r="I44" i="5"/>
  <c r="I40" i="5"/>
  <c r="I36" i="5"/>
  <c r="I32" i="5"/>
  <c r="I28" i="5"/>
  <c r="I24" i="5"/>
  <c r="I20" i="5"/>
  <c r="I16" i="5"/>
  <c r="I12" i="5"/>
  <c r="I8" i="5"/>
  <c r="E8" i="6"/>
  <c r="L8" i="6"/>
  <c r="L6" i="6"/>
  <c r="E6" i="6"/>
  <c r="K6" i="6"/>
  <c r="I103" i="5"/>
  <c r="K6" i="11" s="1"/>
  <c r="D6" i="6"/>
  <c r="F6" i="6" s="1"/>
  <c r="L6" i="11" s="1"/>
  <c r="L7" i="6"/>
  <c r="E7" i="6"/>
  <c r="H9" i="8"/>
  <c r="H5" i="8"/>
  <c r="K8" i="6"/>
  <c r="K4" i="6"/>
  <c r="I123" i="5"/>
  <c r="D8" i="6"/>
  <c r="D4" i="6"/>
  <c r="F8" i="9"/>
  <c r="G5" i="9"/>
  <c r="I8" i="9"/>
  <c r="H8" i="9"/>
  <c r="E8" i="9"/>
  <c r="D8" i="9"/>
  <c r="C8" i="9"/>
  <c r="D4" i="3"/>
  <c r="E4" i="5" s="1"/>
  <c r="F8" i="6" l="1"/>
  <c r="L8" i="11" s="1"/>
  <c r="F7" i="6"/>
  <c r="L7" i="11" s="1"/>
  <c r="K7" i="11"/>
  <c r="E4" i="6"/>
  <c r="O12" i="11" s="1"/>
  <c r="E3" i="6"/>
  <c r="F3" i="6" s="1"/>
  <c r="L3" i="11" s="1"/>
  <c r="L5" i="6"/>
  <c r="E5" i="6"/>
  <c r="F5" i="6" s="1"/>
  <c r="L5" i="11" s="1"/>
  <c r="L3" i="6"/>
  <c r="L4" i="6"/>
  <c r="I4" i="5"/>
  <c r="K4" i="11" s="1"/>
  <c r="O13" i="11" s="1"/>
  <c r="K8" i="11"/>
  <c r="I9" i="9"/>
  <c r="G8" i="9"/>
  <c r="K3" i="11" l="1"/>
  <c r="K5" i="11"/>
  <c r="F31" i="12" l="1"/>
  <c r="F29" i="12"/>
  <c r="F33" i="12"/>
  <c r="F30" i="12"/>
  <c r="F32" i="12"/>
  <c r="E29" i="12" l="1"/>
  <c r="H11" i="12"/>
  <c r="F34" i="12"/>
  <c r="E48" i="12" s="1"/>
  <c r="E31" i="12"/>
  <c r="H31" i="12" s="1"/>
  <c r="H13" i="12"/>
  <c r="E32" i="12"/>
  <c r="H32" i="12" s="1"/>
  <c r="H14" i="12"/>
  <c r="H12" i="12"/>
  <c r="E30" i="12"/>
  <c r="H30" i="12" s="1"/>
  <c r="E51" i="12" l="1"/>
  <c r="E52" i="12" s="1"/>
  <c r="H29" i="12"/>
  <c r="E54" i="12" l="1"/>
  <c r="E61" i="12" s="1"/>
  <c r="E62" i="12" s="1"/>
  <c r="E53" i="12"/>
  <c r="H16" i="12" l="1"/>
  <c r="H15" i="12" l="1"/>
  <c r="E33" i="12"/>
  <c r="H33" i="12" l="1"/>
  <c r="E34" i="12"/>
  <c r="H34" i="12" l="1"/>
  <c r="D48" i="12"/>
  <c r="D51" i="12" l="1"/>
  <c r="F51" i="12" s="1"/>
  <c r="F48" i="12"/>
  <c r="D52" i="12" l="1"/>
  <c r="D54" i="12" l="1"/>
  <c r="D53" i="12"/>
  <c r="F53" i="12" s="1"/>
  <c r="F52" i="12"/>
  <c r="D61" i="12" l="1"/>
  <c r="F54" i="12"/>
  <c r="D62" i="12" l="1"/>
  <c r="F61" i="12"/>
  <c r="F62" i="12" s="1"/>
</calcChain>
</file>

<file path=xl/sharedStrings.xml><?xml version="1.0" encoding="utf-8"?>
<sst xmlns="http://schemas.openxmlformats.org/spreadsheetml/2006/main" count="544" uniqueCount="309">
  <si>
    <t>Ana Paulina López Cazares</t>
  </si>
  <si>
    <t>Miguel Angel Gonzalez Gallegos</t>
  </si>
  <si>
    <t>Semana</t>
  </si>
  <si>
    <t>Fecha</t>
  </si>
  <si>
    <t>Horas</t>
  </si>
  <si>
    <t>Actividades</t>
  </si>
  <si>
    <t>Integrante: Ana Paulina López Cazares</t>
  </si>
  <si>
    <t>Hora inicio</t>
  </si>
  <si>
    <t>Hora termino</t>
  </si>
  <si>
    <t>Actividades realizadas</t>
  </si>
  <si>
    <t>Observaciones</t>
  </si>
  <si>
    <t>P</t>
  </si>
  <si>
    <t>Minuta
Repositorio Unity
Pruebas de importacion
Probando scripts de seguimiento
Viendo las modificaciones de los requerimientos
Haciendo pruebas con repositorio
Acomodando plan de mitigaciones
Pruebas de NavMesh</t>
  </si>
  <si>
    <t>Modificaciones en cronograma</t>
  </si>
  <si>
    <t>Probando y creando la escena de Menu</t>
  </si>
  <si>
    <t>Terminando la programacion basica del buscador
Realizando las otras vistas para el movil</t>
  </si>
  <si>
    <t>Viendo el script para la rotacion de la camara
Viendo funciones de NavMesh
Corrigiendo los canvas de las escenas
Agregando el slaider
Probando el slaider
Haciendo recorrido primera persona
Funcionamiento velocidad camara
Ajustando los textMeshPro
OffMesh link
Explicarle plastic</t>
  </si>
  <si>
    <t>Modificando colores
Prueba en modelo / NavMesh
Botones scripts
Busqueda por botones</t>
  </si>
  <si>
    <t>Paleta de colores usada
DEDBCC
6DIA42
F2F0F0
363554
DDDDE3</t>
  </si>
  <si>
    <t>Funcionamiento de busqueda por elementos
Pasar parametros en otras escenas</t>
  </si>
  <si>
    <t>Terminar el pase de informacion de una escena a otra
Investigar lo de la rotacion de pantalla</t>
  </si>
  <si>
    <t>Realizar minutas faltantes
Actualizando: plan de riesgo y mitigaciones
Actualizacion de tabla de verciones
Buscando diseño para los botones
Investigando como se hacen lecturas en JSON para realizar pruebas</t>
  </si>
  <si>
    <t>Diseño de primeros botones</t>
  </si>
  <si>
    <t>Creacion de escenas administrador
Primera prueba en android (apk)
Viendo la rotacion de la pantalla con la prueba y la posicion de las caras del modelo
Correccion en la rotacion de pantalla y correccion en los canvas
Lectura de un txt/JSON: instancia, ejemplo de lectura
Creacion de Dont Destroy</t>
  </si>
  <si>
    <t>Rellenar el scroll de manera automatica (menu de busqueda)
Lectura de posicion, se instancia el player, se dirige al punto seleccionado</t>
  </si>
  <si>
    <t>Programacion del apartado 2D
Movimiento de camara (zoom) y desplazamiento
Calculo de coordenadas, que las coordenadas de longitud y magnitud se puedan ubicas en el espacio de 2D.</t>
  </si>
  <si>
    <t>Que las coordenadas hagan bien la convercion
Convercion inversa de coordenadas X,Y y conseguir coordenadas de longitud y latitud
Prueba de NavMesh en 2D 
Mover de manera manual el punto de inicio</t>
  </si>
  <si>
    <t>Prueba de exportacion de edificios y probando el NavMesh en los modelos
Vizualizar que haga bien los recorridos en los modelos
Probando la obtencion de longitud y magnitud en tiempo real</t>
  </si>
  <si>
    <t>Acomodando los datos de los puntos en Excel</t>
  </si>
  <si>
    <t>Capturando informacion
Terminar de acomodar los datos en el Excel
Realizando el trazo de la ruta
GPS en tiempo real, en otro archivo de prueba</t>
  </si>
  <si>
    <t>Mejorando los scripts
Correcciones de script de botones y cambio de las escenas
Exportando los modelos
Documentando codigo</t>
  </si>
  <si>
    <t>Modificando el NavMesh
Movimeitno con el mouse al momento del recorrido
Colocando los puntos del edificios de gobierno
Correccion en scripts</t>
  </si>
  <si>
    <t xml:space="preserve">Correccion de los scripts de busqueda
Sacando los datos de los puntos destino
Correccion de scripts
Corrigiendo los scripts de lectura JSON
</t>
  </si>
  <si>
    <t>Correccion del NavMesh
Probando el cambio de escenas que se lean los datos y se guarde la informacion de punto destino
Checando pesados para ver que el modelo estuviera bien
Sacando la posicion de mas puntos</t>
  </si>
  <si>
    <t>Terminar de poner todos los puntos
Mejorar el pase de datos entre escenas
Terminar la comunicacion entre las escenas Mapa3D - MenuBusqueda - MenuInicio
Instanciando un Agente Nav Mesh
Limpiando y quitando codigo y elementos de escena</t>
  </si>
  <si>
    <t>Haciendo el pase de informacion del mapa2d a las demas escenas
Correccion del player en 2D para que no se oculte entre el modelo</t>
  </si>
  <si>
    <t>Programando el funcionamiento del mapa2D
Correccion en la posicion de los edificio del modelo en Blender
Corrigiendo programacion</t>
  </si>
  <si>
    <t>Cambios en Mapa3D
Correcciones en el NavMesh
Vinculando la posicion de inicio entre los mapas y la del punto destino</t>
  </si>
  <si>
    <t>Arreglando el codigo de linea de seguimiento
Haciendo la conexion entre mapa2d y menuInicio
Corrigiendo el guardado del NavMesh en el Mapa3D</t>
  </si>
  <si>
    <t>Funcionamiento del punto inicial
Arreglo en el movimiento de camara
Limpieza de elementos en el mapa2D
Tamaño de la linea del camino
Fijar la rotacion de las escenas</t>
  </si>
  <si>
    <t>Correccion de los puntos, ante las modificaciones de la posicion de los modelos</t>
  </si>
  <si>
    <t>Correccion del movimiento de camara de la simulacion
Probando codigo funcional para el movimiento de camara</t>
  </si>
  <si>
    <t>Ver como es el calculo de la distancia
Correccion del movimiento de camara de la simulacion
Ultimos puntos actualizados
Problemas con la rotacion</t>
  </si>
  <si>
    <t>Correcciones en los calculos del GPS</t>
  </si>
  <si>
    <t>Correcciones en los calculos de la conversion de coordenadas de Unity a coordenadas de longitud y latitud, y viceversa
Corrigiendo lo de la rotacion en la simulacion</t>
  </si>
  <si>
    <t>Correccion de movimiento de camara
Ajustando la velocidad en el apartado de Mapa
Creando el NavMesh para el GPS</t>
  </si>
  <si>
    <t>Implementando de tiempo real el GPS
Correccion de la conversion de latitud/longitud de los puntos
Delimitando las coordenadas del GPS</t>
  </si>
  <si>
    <t>Realizando las minutas
Trazo de linea del GPS al punto destino
Correccion del NavMesh del punto del GPS
Viendo el movimiento del GPS al caminar por la escuela</t>
  </si>
  <si>
    <t>Correccion de los avisos del canvas
Creacion de otro escenario para el NavMesh del GPS
Pruebas del NavMesh en el modelo, realizando correcciones</t>
  </si>
  <si>
    <t>Correccion entre el puntoInicial programado y el punto del GPS
Diferente colores del punto
Paso entre el 2D y 3D
Raycast para detectar la ubicacion del punto del GPS y pasarlo a la escena de simulacion</t>
  </si>
  <si>
    <t>Modificando el codigo del GPS para que actualize en tiempo real los datos de longitud y latitud
Trazando el camino de la ubicacion indicada por el GPS al punto destino</t>
  </si>
  <si>
    <t>Ajustar el punto del GPS con el NavMesh para que respete las rutas establecidas
Iniciando con el calculo de tiempo
Ajustando el NavMesh para pasar la altura a la simulacion y poder hacer el cambio del GPS a la simulacion</t>
  </si>
  <si>
    <t>Calculo de tiempo</t>
  </si>
  <si>
    <t>Calculando el tiempo del punto inicial o del GPS en la simulacion
Colocando los textos de los edificios en la simulacion
Textura para la linea del caino
Ajustando la velocidad del NavMesh acorde al slider
Programando los textos para que esten volteando hacia la camara</t>
  </si>
  <si>
    <t>Apartado administradod Mapa2d
Arreglando los canvas</t>
  </si>
  <si>
    <t>Diseño de los pisos para el apartado Administrador Mapa2D
Programacion de la interfaz del administrador</t>
  </si>
  <si>
    <t>p m</t>
  </si>
  <si>
    <t>Diseño de pisos para el apartado administrador del Mapa 2D</t>
  </si>
  <si>
    <t>m</t>
  </si>
  <si>
    <t>Correcciones en el codigo del administrador</t>
  </si>
  <si>
    <t>Correcciones en las posiciones
Programacion de las posiciones</t>
  </si>
  <si>
    <t>Programacion de los permisos para el GPS</t>
  </si>
  <si>
    <t>Correcciones en el apartado administrador</t>
  </si>
  <si>
    <t>Activando los permisos para el uso del GPS</t>
  </si>
  <si>
    <t>Agregando nuevo canvas, de tiempo de espera para la conexion al GPS
Quitando el texto de inicio
Programando un reinicio por si el player se sale de su zona</t>
  </si>
  <si>
    <t>Correccion en los mensajes del GPS
Se quita la programacion del reinicio
Corrigiendo la camara para que regrese a su posicion original en la simulacion
Poniendo todos los elementos modelados en un archivo de blender</t>
  </si>
  <si>
    <t>Correccion de las luces en las escenas
Mejoras en el apartado del administrador
Bajando la sensibilidad del movimiento para la camara</t>
  </si>
  <si>
    <t>Creacion de los puntos (programacion)
Lectura de los puntos para pasar el ID que permita le edicion y eliminacion de los datos</t>
  </si>
  <si>
    <t>Creacion del JSON y lectura de la base de datos
Actualizacion del archivo cada que conecta a la base de datos
Termino del codigo del usuario</t>
  </si>
  <si>
    <t>Terminando la programacion basica para el administrador
Trabajando con la lectura de la base de datos a un archivo JSON</t>
  </si>
  <si>
    <t>Pasando los datos a un archivo txt dentro del proyecto de Unity</t>
  </si>
  <si>
    <t>Guardando los datos y creando los elementos en base a los datos guardados en el txt</t>
  </si>
  <si>
    <t>Creando los scripts necesarios en el administrador para la creacion de los puntos</t>
  </si>
  <si>
    <t>Haciendo la ventana de edicion de los puntos para editar o crear un nuevo dato</t>
  </si>
  <si>
    <t>Mejorando los canvas para el CRUD de los difetentes puntos</t>
  </si>
  <si>
    <t>Lectura de los datos para los puntos</t>
  </si>
  <si>
    <t>Mejorando la visualizacion de los diferentes puntos</t>
  </si>
  <si>
    <t>Corrigiendo problemas de codigo en la seleccion de edificios</t>
  </si>
  <si>
    <t>Ventana de presentacion
Buildeo de movil y PC</t>
  </si>
  <si>
    <t>Correccion para el buildeo en movil</t>
  </si>
  <si>
    <t>Creando un nuevo proyecto para corregir los problemas</t>
  </si>
  <si>
    <t>Creacion del manual de usuario</t>
  </si>
  <si>
    <t>Creacion de los manuales</t>
  </si>
  <si>
    <t>Creacion de los manuales tecnico y de mantenimiento</t>
  </si>
  <si>
    <t>Resolucion de dependencias para la creacion del APK</t>
  </si>
  <si>
    <t>Correccion de codigo
Intentando realializar la conexion a internet para el APK</t>
  </si>
  <si>
    <t>Creacion de las minutas faltantes
Creando el ABB para la PlayStore
Intantandola subir a la Play</t>
  </si>
  <si>
    <t>Modificando el codigo para ver si se puede actualizar en el instante</t>
  </si>
  <si>
    <t>Correccion para que se actualize en automatico los puntos del administrador una vez creados o borrados.</t>
  </si>
  <si>
    <t xml:space="preserve">Correccion en el menu de busqueda: se elimina el elemento de ejemplo </t>
  </si>
  <si>
    <t>Correcciones de los manuales
Creacion de los repositorios para guardar los modelos y proyectos de Unity</t>
  </si>
  <si>
    <t>Correccion en el manual de usuario
Termino de las minutas</t>
  </si>
  <si>
    <t>Inicio del reporte final
Minutas cliente
Correcciones en el cronograma
Clases de diagramas de clase</t>
  </si>
  <si>
    <t>Integrante: Miguel Angel Gonzalez Gallegoz</t>
  </si>
  <si>
    <t>Hora inicial</t>
  </si>
  <si>
    <t>Hora final</t>
  </si>
  <si>
    <t>Horas realizadas</t>
  </si>
  <si>
    <t xml:space="preserve">Actividad a realizar </t>
  </si>
  <si>
    <t>Cronograma, asignacion de fechas y actividades, correcion del SRS y los requerimientos correspondientes</t>
  </si>
  <si>
    <t>Cronograma, correcion y asignacion de fechas y actividades</t>
  </si>
  <si>
    <t>correcion del documento de Pruebas y Matriz de trazabilidad</t>
  </si>
  <si>
    <t>Modelado de edificios</t>
  </si>
  <si>
    <t>recuperacion de los modelos</t>
  </si>
  <si>
    <t>modelado partes internas</t>
  </si>
  <si>
    <t>texturizado y modelado</t>
  </si>
  <si>
    <t>texturizado e invextigacion de BD</t>
  </si>
  <si>
    <t>primeor pasos en la BD</t>
  </si>
  <si>
    <t>creacion de la base de datos en firebase</t>
  </si>
  <si>
    <t>autentificacionm y paqueterias, texturisado</t>
  </si>
  <si>
    <t>arreglo de texturas y modelos</t>
  </si>
  <si>
    <t>correcion dle modelo</t>
  </si>
  <si>
    <t>correcion del modelo</t>
  </si>
  <si>
    <t xml:space="preserve">implementacion de authentific </t>
  </si>
  <si>
    <t>investigacion de las paqueterias de firebase</t>
  </si>
  <si>
    <t>importacion y acomodo de las paqueterias</t>
  </si>
  <si>
    <t>login de manera anoima</t>
  </si>
  <si>
    <t>login por cuenta</t>
  </si>
  <si>
    <t>login por cuneta</t>
  </si>
  <si>
    <t>modificacion del apartado administrador</t>
  </si>
  <si>
    <t>areglo del buldeo para web</t>
  </si>
  <si>
    <t>acomodo del menu de edicion</t>
  </si>
  <si>
    <t>acomodo del modelo</t>
  </si>
  <si>
    <t>areglo de texturas en el modelo</t>
  </si>
  <si>
    <t>impolementacion de la base de datos con la edicion de datos</t>
  </si>
  <si>
    <t>correcion de la base de datos</t>
  </si>
  <si>
    <t>extracion de datos</t>
  </si>
  <si>
    <t>modificacion de datos</t>
  </si>
  <si>
    <t>no me acuerdo que hice esn estas fechas ni cuantro dure xD</t>
  </si>
  <si>
    <t xml:space="preserve">correccion de texturas </t>
  </si>
  <si>
    <t>actualizacion del modelo</t>
  </si>
  <si>
    <t>corecion de texturas</t>
  </si>
  <si>
    <t xml:space="preserve">correcion de texturas </t>
  </si>
  <si>
    <t>actualizacion de los diagramas</t>
  </si>
  <si>
    <t>actualizacion de texturas unity</t>
  </si>
  <si>
    <t xml:space="preserve">pruebas, </t>
  </si>
  <si>
    <t>pruebas</t>
  </si>
  <si>
    <t>actualizacion del documento de diseño</t>
  </si>
  <si>
    <t>actualizacion de matriz de trasabilidad</t>
  </si>
  <si>
    <t>actualizacion de la matriz de trasabilidad</t>
  </si>
  <si>
    <t>Suba de datos a la BD  y otros documentos</t>
  </si>
  <si>
    <t>Alta datos DB, Actualizacion diseño, Actualizacion  diagrama de clases</t>
  </si>
  <si>
    <t>Dias</t>
  </si>
  <si>
    <t>Hay</t>
  </si>
  <si>
    <t>Laborados</t>
  </si>
  <si>
    <t>Planteado</t>
  </si>
  <si>
    <t>Ana</t>
  </si>
  <si>
    <t>Miguel</t>
  </si>
  <si>
    <t xml:space="preserve">Ana </t>
  </si>
  <si>
    <t>Dias laborales</t>
  </si>
  <si>
    <t>Dias vacacionales</t>
  </si>
  <si>
    <t>Dias sabaticos</t>
  </si>
  <si>
    <t>Totales</t>
  </si>
  <si>
    <t>Total</t>
  </si>
  <si>
    <t>TT2</t>
  </si>
  <si>
    <t>Correccion</t>
  </si>
  <si>
    <t>Programacion</t>
  </si>
  <si>
    <t>Pruebas</t>
  </si>
  <si>
    <t>Mantenimiento</t>
  </si>
  <si>
    <t xml:space="preserve">5
</t>
  </si>
  <si>
    <t>Fases</t>
  </si>
  <si>
    <t>C</t>
  </si>
  <si>
    <t>N</t>
  </si>
  <si>
    <t>Minuta</t>
  </si>
  <si>
    <t xml:space="preserve">Tiempo </t>
  </si>
  <si>
    <t>Correcciones</t>
  </si>
  <si>
    <t>Total horas cliente</t>
  </si>
  <si>
    <t>Fase</t>
  </si>
  <si>
    <t>Fecha inicio</t>
  </si>
  <si>
    <t>fecha final</t>
  </si>
  <si>
    <t>total</t>
  </si>
  <si>
    <t>Correciones</t>
  </si>
  <si>
    <t>Total horas equipo</t>
  </si>
  <si>
    <t>BD</t>
  </si>
  <si>
    <t>DIAS</t>
  </si>
  <si>
    <t>HORAS</t>
  </si>
  <si>
    <t>Individual</t>
  </si>
  <si>
    <t>Equipo</t>
  </si>
  <si>
    <t>Termino</t>
  </si>
  <si>
    <t>Implementacion</t>
  </si>
  <si>
    <t>Esperado</t>
  </si>
  <si>
    <t>Real</t>
  </si>
  <si>
    <t>Desviaciones</t>
  </si>
  <si>
    <t xml:space="preserve">Fecha inicial </t>
  </si>
  <si>
    <t>Fecha 
final</t>
  </si>
  <si>
    <t xml:space="preserve">Dias </t>
  </si>
  <si>
    <t xml:space="preserve">Horas </t>
  </si>
  <si>
    <t xml:space="preserve">Fecha 
final </t>
  </si>
  <si>
    <t>N/A</t>
  </si>
  <si>
    <t>Junta de equipo</t>
  </si>
  <si>
    <t>Fecha final</t>
  </si>
  <si>
    <t>Dias esperados</t>
  </si>
  <si>
    <t>Horas esperadas</t>
  </si>
  <si>
    <t>Fecha inicial real</t>
  </si>
  <si>
    <t>Fecha final real</t>
  </si>
  <si>
    <t xml:space="preserve">Horas realizadas </t>
  </si>
  <si>
    <t>Diferencia</t>
  </si>
  <si>
    <t>Correccion del cronograma</t>
  </si>
  <si>
    <t>Realizar las correcciones realizadas en TT1</t>
  </si>
  <si>
    <t>Modificacion Fase de analisis</t>
  </si>
  <si>
    <t>Modificacion Fase de diseño</t>
  </si>
  <si>
    <t>Junta con director (revision/validacion)</t>
  </si>
  <si>
    <t>Modelado </t>
  </si>
  <si>
    <t>Edificios(Externos, pasillos, estacionamiento, areas de contencion y zonas internas)</t>
  </si>
  <si>
    <t>texturizado(Externo e Interno)</t>
  </si>
  <si>
    <t>Importacion a Unity</t>
  </si>
  <si>
    <t>Colocar los edificios en la zona correspondiente</t>
  </si>
  <si>
    <t>Junta con director</t>
  </si>
  <si>
    <t>Programacion de interfas/interacciones</t>
  </si>
  <si>
    <t>Implementacion de los puntos</t>
  </si>
  <si>
    <t>Base de datos</t>
  </si>
  <si>
    <t>Creacion de la base de datos</t>
  </si>
  <si>
    <t>Conexión a la base de datos</t>
  </si>
  <si>
    <t>Colocar los puntos referentes a la base de datos</t>
  </si>
  <si>
    <t>Apartado administrador</t>
  </si>
  <si>
    <t>Interfaz del usuario administrador</t>
  </si>
  <si>
    <t>Modificacion de datos</t>
  </si>
  <si>
    <t>Creacion de datos</t>
  </si>
  <si>
    <t>Login del usuario</t>
  </si>
  <si>
    <t>Implementacion de mapeo</t>
  </si>
  <si>
    <t>Localizacion con GPS</t>
  </si>
  <si>
    <t>Creacion de linea de seguimiento</t>
  </si>
  <si>
    <t>Cambio de velocidad</t>
  </si>
  <si>
    <t>Creacion del producto final</t>
  </si>
  <si>
    <t>Fase de Pruebas</t>
  </si>
  <si>
    <t>Pruebas Unitarias</t>
  </si>
  <si>
    <t>Prebas de sistema</t>
  </si>
  <si>
    <t>Pruebas de integracion</t>
  </si>
  <si>
    <t>Actualizar documento de pruebas</t>
  </si>
  <si>
    <t>Actualizar documento de matriz</t>
  </si>
  <si>
    <t>Realizacion de manuales</t>
  </si>
  <si>
    <t>Manual de tecnico</t>
  </si>
  <si>
    <t>Manual de usuario</t>
  </si>
  <si>
    <t>Manual de mantenimiento</t>
  </si>
  <si>
    <t>Video</t>
  </si>
  <si>
    <t>Junta de equipo revision</t>
  </si>
  <si>
    <t>Realizacion reporte final</t>
  </si>
  <si>
    <t>Junta revicion</t>
  </si>
  <si>
    <t>Correcciones reporte final</t>
  </si>
  <si>
    <t>Junta validacion</t>
  </si>
  <si>
    <t>Presentacion</t>
  </si>
  <si>
    <t>Exposicion</t>
  </si>
  <si>
    <t>Fase de Mantenimiento</t>
  </si>
  <si>
    <t>Fase de Implementación</t>
  </si>
  <si>
    <t>Debido a que, despues de importarse a Unity a veces se encontraban con algunos errores en el modelo se tenia que volver a modificar el modelo. En algunas ocaciones el modelo tuvo que ser modificado desde Unity dado que no respetaba las texturas dadas en Blender</t>
  </si>
  <si>
    <t>Por desconocimiento en el uso de Firebase, la conexión con Firebase tomo mas tiempo de lo esperado. Por otro lado la paqueteria de Firebase dio complicaciones al momento de construir el proyecto dado a un problema de versiones y actualizaciones que tuvo la paqueteria</t>
  </si>
  <si>
    <t>A causa del retraso de la fase pasada se demoro el iniciar con la dase de pruebas</t>
  </si>
  <si>
    <t>Por causa de la demora que se traia desde la fase de implementacion se demoro el iniciar con la creacion de los manuales</t>
  </si>
  <si>
    <t>Por el retraso que se tiene el video se estuvo posponiendo hasta tener el producto terminado y aceptaro por el director del proyecto</t>
  </si>
  <si>
    <t>_--_</t>
  </si>
  <si>
    <t>Implementación</t>
  </si>
  <si>
    <t>Actualizando mitigaciones
Realizando analisis de horas
Acomodando las actividades
Reporte final</t>
  </si>
  <si>
    <t>Recopilando datos del las actividades (horas y dias)</t>
  </si>
  <si>
    <t>Resumen de las horas laboradas acorde a cada actividad y fase</t>
  </si>
  <si>
    <t>Pruebas
Mantenimiento</t>
  </si>
  <si>
    <t xml:space="preserve">Implementacion </t>
  </si>
  <si>
    <t>Implemetnacion</t>
  </si>
  <si>
    <t>Dias laborados</t>
  </si>
  <si>
    <t xml:space="preserve">Realizacion del reporte 2
</t>
  </si>
  <si>
    <t>Pegar los carteles
Revision de los reportes</t>
  </si>
  <si>
    <t>Creacion de los carteles
Analisis de horas</t>
  </si>
  <si>
    <t>Reporte 2</t>
  </si>
  <si>
    <t>creacion dse nuevos puntos</t>
  </si>
  <si>
    <t>roperte final</t>
  </si>
  <si>
    <t>reporte final y elaboraicon de los videos</t>
  </si>
  <si>
    <t>actualizacion del diagrama de clases y otras observaciones</t>
  </si>
  <si>
    <t>planeacion del video y roperote final</t>
  </si>
  <si>
    <t xml:space="preserve">duracion del proyecto en meses </t>
  </si>
  <si>
    <t>Integrantes del equipo</t>
  </si>
  <si>
    <t>Nombres</t>
  </si>
  <si>
    <t>Iniciales</t>
  </si>
  <si>
    <t>rol</t>
  </si>
  <si>
    <t>Pago por hora</t>
  </si>
  <si>
    <t xml:space="preserve">ISC. Efraín Arredondo Morales </t>
  </si>
  <si>
    <t>EAM</t>
  </si>
  <si>
    <t>DIRECTOR</t>
  </si>
  <si>
    <t>Ana Paulina Lopez Cazares</t>
  </si>
  <si>
    <t>APLC</t>
  </si>
  <si>
    <t>ALUMNO</t>
  </si>
  <si>
    <t>MAGG</t>
  </si>
  <si>
    <t>Horas laboradas</t>
  </si>
  <si>
    <t>Total equipo</t>
  </si>
  <si>
    <t>Costo de equipo</t>
  </si>
  <si>
    <t>Perteneciente</t>
  </si>
  <si>
    <t>Costo del equipo</t>
  </si>
  <si>
    <t>Depreseacion por mes</t>
  </si>
  <si>
    <t>Depreseacion total</t>
  </si>
  <si>
    <t>Recursos humanos alumnos y director</t>
  </si>
  <si>
    <t>Miembros del equipo</t>
  </si>
  <si>
    <t>Activos fijos</t>
  </si>
  <si>
    <t>Costo mensual</t>
  </si>
  <si>
    <t>Costo del proyecto</t>
  </si>
  <si>
    <t xml:space="preserve">Recursos </t>
  </si>
  <si>
    <t>Agua</t>
  </si>
  <si>
    <t>Luz</t>
  </si>
  <si>
    <t>Internet</t>
  </si>
  <si>
    <t>Renta</t>
  </si>
  <si>
    <t>Estimacion del proyecto</t>
  </si>
  <si>
    <t>Integrantes</t>
  </si>
  <si>
    <t xml:space="preserve"> EAM</t>
  </si>
  <si>
    <t>Recursos humanos (50%)</t>
  </si>
  <si>
    <t xml:space="preserve">Costos fijos </t>
  </si>
  <si>
    <t>Depreseacion del los equipos</t>
  </si>
  <si>
    <t>Imprevistos (10%)</t>
  </si>
  <si>
    <t>subtotal</t>
  </si>
  <si>
    <t>Ganancia (inflacion + premio al riesgo) (20%)</t>
  </si>
  <si>
    <t>Estimacion total del proyecto</t>
  </si>
  <si>
    <t>TT-1</t>
  </si>
  <si>
    <t>TT-2</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</si>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</sst>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30" x14ac:knownFonts="1">
    <font>
      <sz val="11"/>
      <color theme="1"/>
      <name val="Arial"/>
      <family val="2"/>
    </font>
    <font>
      <b/>
      <sz val="14"/>
      <color theme="1"/>
      <name val="Arial"/>
      <family val="2"/>
    </font>
    <font>
      <b/>
      <sz val="11"/>
      <color theme="1"/>
      <name val="Arial"/>
      <family val="2"/>
    </font>
    <font>
      <sz val="12"/>
      <color theme="1"/>
      <name val="Arial"/>
      <family val="2"/>
    </font>
    <font>
      <sz val="12"/>
      <color rgb="FF000000"/>
      <name val="Times New Roman"/>
    </font>
    <font>
      <sz val="12"/>
      <color theme="1"/>
      <name val="Times New Roman"/>
    </font>
    <font>
      <b/>
      <sz val="12"/>
      <color rgb="FF000000"/>
      <name val="Times New Roman"/>
    </font>
    <font>
      <b/>
      <sz val="12"/>
      <color theme="1"/>
      <name val="Times New Roman"/>
    </font>
    <font>
      <sz val="12"/>
      <color rgb="FFFFFFFF"/>
      <name val="Times New Roman"/>
    </font>
    <font>
      <b/>
      <sz val="12"/>
      <color rgb="FFFFFFFF"/>
      <name val="Times New Roman"/>
    </font>
    <font>
      <b/>
      <sz val="12"/>
      <color theme="1"/>
      <name val="Arial"/>
      <family val="2"/>
    </font>
    <font>
      <sz val="10"/>
      <color theme="1"/>
      <name val="Arial"/>
      <family val="2"/>
    </font>
    <font>
      <b/>
      <sz val="12"/>
      <color rgb="FF000000"/>
      <name val="Times New Roman"/>
      <family val="1"/>
    </font>
    <font>
      <sz val="12"/>
      <color theme="1"/>
      <name val="Times New Roman"/>
      <family val="1"/>
    </font>
    <font>
      <sz val="11"/>
      <color theme="1"/>
      <name val="Times New Roman"/>
      <family val="1"/>
    </font>
    <font>
      <b/>
      <sz val="12"/>
      <color theme="0"/>
      <name val="Times New Roman"/>
      <family val="1"/>
    </font>
    <font>
      <b/>
      <sz val="11"/>
      <color theme="0"/>
      <name val="Times New Roman"/>
      <family val="1"/>
    </font>
    <font>
      <b/>
      <sz val="11"/>
      <color theme="1"/>
      <name val="Times New Roman"/>
      <family val="1"/>
    </font>
    <font>
      <b/>
      <sz val="12"/>
      <color theme="1"/>
      <name val="Times New Roman"/>
      <family val="1"/>
    </font>
    <font>
      <sz val="11"/>
      <name val="Times New Roman"/>
      <family val="1"/>
    </font>
    <font>
      <sz val="11"/>
      <color rgb="FF000000"/>
      <name val="Times New Roman"/>
      <family val="1"/>
    </font>
    <font>
      <sz val="12"/>
      <color rgb="FF000000"/>
      <name val="Times New Roman"/>
      <family val="1"/>
    </font>
    <font>
      <b/>
      <sz val="12"/>
      <name val="Times New Roman"/>
      <family val="1"/>
    </font>
    <font>
      <sz val="12"/>
      <name val="Times New Roman"/>
      <family val="1"/>
    </font>
    <font>
      <sz val="11"/>
      <name val="Calibri"/>
      <family val="2"/>
    </font>
    <font>
      <sz val="11"/>
      <color rgb="FF000000"/>
      <name val="Calibri"/>
      <family val="2"/>
    </font>
    <font>
      <b/>
      <sz val="11"/>
      <color rgb="FF000000"/>
      <name val="Calibri"/>
      <family val="2"/>
    </font>
    <font>
      <b/>
      <sz val="10"/>
      <color theme="1"/>
      <name val="Times New Roman"/>
      <family val="1"/>
    </font>
    <font>
      <i/>
      <sz val="11"/>
      <color rgb="FF000000"/>
      <name val="Calibri"/>
      <family val="2"/>
    </font>
    <font>
      <sz val="11"/>
      <color rgb="FFFFFFFF"/>
      <name val="Times New Roman"/>
      <family val="1"/>
    </font>
  </fonts>
  <fills count="30">
    <fill>
      <patternFill patternType="none"/>
    </fill>
    <fill>
      <patternFill patternType="gray125"/>
    </fill>
    <fill>
      <patternFill patternType="solid">
        <fgColor rgb="FFFFFFFF"/>
        <bgColor indexed="64"/>
      </patternFill>
    </fill>
    <fill>
      <patternFill patternType="solid">
        <fgColor theme="4" tint="0.79998168889431442"/>
        <bgColor theme="4" tint="0.79998168889431442"/>
      </patternFill>
    </fill>
    <fill>
      <patternFill patternType="solid">
        <fgColor rgb="FFD9E1F2"/>
        <bgColor indexed="64"/>
      </patternFill>
    </fill>
    <fill>
      <patternFill patternType="solid">
        <fgColor rgb="FF8EA9DB"/>
        <bgColor indexed="64"/>
      </patternFill>
    </fill>
    <fill>
      <patternFill patternType="solid">
        <fgColor rgb="FF4472C4"/>
        <bgColor indexed="64"/>
      </patternFill>
    </fill>
    <fill>
      <patternFill patternType="solid">
        <fgColor rgb="FFBDD7EE"/>
        <bgColor indexed="64"/>
      </patternFill>
    </fill>
    <fill>
      <patternFill patternType="solid">
        <fgColor rgb="FFFCE4D6"/>
        <bgColor indexed="64"/>
      </patternFill>
    </fill>
    <fill>
      <patternFill patternType="solid">
        <fgColor rgb="FFF4B084"/>
        <bgColor indexed="64"/>
      </patternFill>
    </fill>
    <fill>
      <patternFill patternType="solid">
        <fgColor rgb="FF952F57"/>
        <bgColor indexed="64"/>
      </patternFill>
    </fill>
    <fill>
      <patternFill patternType="solid">
        <fgColor rgb="FFB05479"/>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990033"/>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rgb="FFFF9933"/>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833C0C"/>
        <bgColor rgb="FF000000"/>
      </patternFill>
    </fill>
    <fill>
      <patternFill patternType="solid">
        <fgColor rgb="FFF8CBAD"/>
        <bgColor rgb="FF000000"/>
      </patternFill>
    </fill>
  </fills>
  <borders count="58">
    <border>
      <left/>
      <right/>
      <top/>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bottom/>
      <diagonal/>
    </border>
    <border>
      <left style="thin">
        <color rgb="FF000000"/>
      </left>
      <right style="medium">
        <color indexed="64"/>
      </right>
      <top style="thin">
        <color rgb="FF000000"/>
      </top>
      <bottom/>
      <diagonal/>
    </border>
    <border>
      <left style="thin">
        <color rgb="FF000000"/>
      </left>
      <right style="medium">
        <color indexed="64"/>
      </right>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rgb="FF000000"/>
      </left>
      <right style="thin">
        <color rgb="FF000000"/>
      </right>
      <top style="thin">
        <color rgb="FF000000"/>
      </top>
      <bottom/>
      <diagonal/>
    </border>
    <border>
      <left/>
      <right style="thin">
        <color rgb="FF000000"/>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357">
    <xf numFmtId="0" fontId="0" fillId="0" borderId="0" xfId="0"/>
    <xf numFmtId="0" fontId="0" fillId="2" borderId="0" xfId="0" applyFill="1"/>
    <xf numFmtId="0" fontId="0" fillId="4" borderId="0" xfId="0" applyFill="1"/>
    <xf numFmtId="20" fontId="0" fillId="0" borderId="0" xfId="0" applyNumberFormat="1"/>
    <xf numFmtId="0" fontId="4" fillId="7" borderId="0" xfId="0" applyFont="1" applyFill="1" applyAlignment="1">
      <alignment horizontal="center" vertical="center"/>
    </xf>
    <xf numFmtId="0" fontId="5" fillId="7" borderId="0" xfId="0" applyFont="1" applyFill="1" applyAlignment="1">
      <alignment wrapText="1"/>
    </xf>
    <xf numFmtId="0" fontId="5" fillId="7" borderId="0" xfId="0" applyFont="1" applyFill="1"/>
    <xf numFmtId="14" fontId="4" fillId="7" borderId="0" xfId="0" applyNumberFormat="1" applyFont="1" applyFill="1" applyAlignment="1">
      <alignment horizontal="center" vertical="center"/>
    </xf>
    <xf numFmtId="0" fontId="5" fillId="0" borderId="0" xfId="0" applyFont="1"/>
    <xf numFmtId="0" fontId="5" fillId="0" borderId="0" xfId="0" applyFont="1" applyAlignment="1">
      <alignment horizontal="center" vertical="center"/>
    </xf>
    <xf numFmtId="0" fontId="5" fillId="9" borderId="2"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9" borderId="5" xfId="0" applyFont="1" applyFill="1" applyBorder="1" applyAlignment="1">
      <alignment horizontal="center" vertical="center"/>
    </xf>
    <xf numFmtId="0" fontId="5" fillId="0" borderId="0" xfId="0" applyFont="1" applyAlignment="1">
      <alignment wrapText="1"/>
    </xf>
    <xf numFmtId="0" fontId="5" fillId="0" borderId="0" xfId="0" applyFont="1" applyAlignment="1">
      <alignment horizontal="center" vertical="center" wrapText="1"/>
    </xf>
    <xf numFmtId="0" fontId="4" fillId="0" borderId="0" xfId="0" applyFont="1" applyAlignment="1">
      <alignment horizontal="center" vertical="center"/>
    </xf>
    <xf numFmtId="0" fontId="4" fillId="0" borderId="0" xfId="0" applyFont="1"/>
    <xf numFmtId="2" fontId="5" fillId="0" borderId="0" xfId="0" applyNumberFormat="1" applyFont="1"/>
    <xf numFmtId="0" fontId="9" fillId="11" borderId="12" xfId="0" applyFont="1" applyFill="1" applyBorder="1" applyAlignment="1">
      <alignment horizontal="center" vertical="center" wrapText="1"/>
    </xf>
    <xf numFmtId="14" fontId="4" fillId="12" borderId="12" xfId="0" applyNumberFormat="1" applyFont="1" applyFill="1" applyBorder="1" applyAlignment="1">
      <alignment horizontal="center" vertical="center"/>
    </xf>
    <xf numFmtId="14" fontId="4" fillId="14" borderId="12" xfId="0" applyNumberFormat="1" applyFont="1" applyFill="1" applyBorder="1" applyAlignment="1">
      <alignment horizontal="center" vertical="center"/>
    </xf>
    <xf numFmtId="0" fontId="9" fillId="11" borderId="16" xfId="0" applyFont="1" applyFill="1" applyBorder="1" applyAlignment="1">
      <alignment horizontal="center" vertical="center"/>
    </xf>
    <xf numFmtId="0" fontId="9" fillId="11" borderId="17" xfId="0" applyFont="1" applyFill="1" applyBorder="1" applyAlignment="1">
      <alignment horizontal="center" vertical="center" wrapText="1"/>
    </xf>
    <xf numFmtId="14" fontId="4" fillId="0" borderId="12" xfId="0" applyNumberFormat="1" applyFont="1" applyBorder="1" applyAlignment="1">
      <alignment horizontal="center" vertical="center"/>
    </xf>
    <xf numFmtId="0" fontId="4" fillId="0" borderId="18" xfId="0" applyFont="1" applyBorder="1" applyAlignment="1">
      <alignment horizontal="center" vertical="center"/>
    </xf>
    <xf numFmtId="14" fontId="4" fillId="0" borderId="19" xfId="0" applyNumberFormat="1" applyFont="1" applyBorder="1" applyAlignment="1">
      <alignment horizontal="center" vertical="center"/>
    </xf>
    <xf numFmtId="0" fontId="0" fillId="13" borderId="0" xfId="0" applyFill="1"/>
    <xf numFmtId="14" fontId="4" fillId="13" borderId="12" xfId="0" applyNumberFormat="1" applyFont="1" applyFill="1" applyBorder="1" applyAlignment="1">
      <alignment horizontal="center" vertical="center"/>
    </xf>
    <xf numFmtId="0" fontId="4" fillId="13" borderId="18" xfId="0" applyFont="1" applyFill="1" applyBorder="1" applyAlignment="1">
      <alignment horizontal="center" vertical="center"/>
    </xf>
    <xf numFmtId="14" fontId="4" fillId="13" borderId="19" xfId="0" applyNumberFormat="1" applyFont="1" applyFill="1" applyBorder="1" applyAlignment="1">
      <alignment horizontal="center" vertical="center"/>
    </xf>
    <xf numFmtId="0" fontId="0" fillId="13" borderId="17" xfId="0" applyFill="1" applyBorder="1"/>
    <xf numFmtId="0" fontId="0" fillId="13" borderId="20" xfId="0" applyFill="1" applyBorder="1"/>
    <xf numFmtId="0" fontId="4" fillId="13" borderId="12" xfId="0" applyFont="1" applyFill="1" applyBorder="1" applyAlignment="1">
      <alignment horizontal="center" vertical="center"/>
    </xf>
    <xf numFmtId="0" fontId="4" fillId="0" borderId="12" xfId="0" applyFont="1" applyBorder="1" applyAlignment="1">
      <alignment horizontal="center" vertical="center"/>
    </xf>
    <xf numFmtId="0" fontId="4" fillId="12" borderId="12" xfId="0" applyFont="1" applyFill="1" applyBorder="1" applyAlignment="1">
      <alignment horizontal="center" vertical="center"/>
    </xf>
    <xf numFmtId="0" fontId="4" fillId="14" borderId="12" xfId="0" applyFont="1" applyFill="1" applyBorder="1" applyAlignment="1">
      <alignment horizontal="center" vertical="center"/>
    </xf>
    <xf numFmtId="0" fontId="4" fillId="0" borderId="19" xfId="0" applyFont="1" applyBorder="1" applyAlignment="1">
      <alignment horizontal="center" vertical="center"/>
    </xf>
    <xf numFmtId="0" fontId="4" fillId="0" borderId="12" xfId="0" applyFont="1" applyBorder="1" applyAlignment="1">
      <alignment horizontal="left" vertical="top" wrapText="1"/>
    </xf>
    <xf numFmtId="0" fontId="9" fillId="11" borderId="12" xfId="0" applyFont="1" applyFill="1" applyBorder="1" applyAlignment="1">
      <alignment horizontal="center" vertical="center"/>
    </xf>
    <xf numFmtId="0" fontId="4" fillId="7" borderId="0" xfId="0" applyFont="1" applyFill="1" applyAlignment="1">
      <alignment horizontal="left" vertical="top" wrapText="1"/>
    </xf>
    <xf numFmtId="0" fontId="4" fillId="13" borderId="12" xfId="0" applyFont="1" applyFill="1" applyBorder="1" applyAlignment="1">
      <alignment horizontal="left" vertical="top" wrapText="1"/>
    </xf>
    <xf numFmtId="14" fontId="4" fillId="0" borderId="16" xfId="0" applyNumberFormat="1" applyFont="1" applyBorder="1" applyAlignment="1">
      <alignment horizontal="center" vertical="center"/>
    </xf>
    <xf numFmtId="14" fontId="4" fillId="12" borderId="16" xfId="0" applyNumberFormat="1" applyFont="1" applyFill="1" applyBorder="1" applyAlignment="1">
      <alignment horizontal="center" vertical="center"/>
    </xf>
    <xf numFmtId="14" fontId="4" fillId="14" borderId="16" xfId="0" applyNumberFormat="1" applyFont="1" applyFill="1" applyBorder="1" applyAlignment="1">
      <alignment horizontal="center" vertical="center"/>
    </xf>
    <xf numFmtId="14" fontId="4" fillId="0" borderId="18" xfId="0" applyNumberFormat="1" applyFont="1" applyBorder="1" applyAlignment="1">
      <alignment horizontal="center" vertical="center"/>
    </xf>
    <xf numFmtId="20" fontId="0" fillId="3" borderId="12" xfId="0" applyNumberFormat="1" applyFill="1" applyBorder="1" applyAlignment="1">
      <alignment horizontal="center"/>
    </xf>
    <xf numFmtId="0" fontId="5" fillId="0" borderId="12" xfId="0" applyFont="1" applyBorder="1" applyAlignment="1">
      <alignment horizontal="center" vertical="center"/>
    </xf>
    <xf numFmtId="0" fontId="5" fillId="12" borderId="12" xfId="0" applyFont="1" applyFill="1" applyBorder="1" applyAlignment="1">
      <alignment horizontal="center" vertical="center"/>
    </xf>
    <xf numFmtId="0" fontId="5" fillId="14" borderId="12" xfId="0" applyFont="1" applyFill="1" applyBorder="1" applyAlignment="1">
      <alignment horizontal="center" vertical="center"/>
    </xf>
    <xf numFmtId="0" fontId="5" fillId="7" borderId="0" xfId="0" applyFont="1" applyFill="1" applyAlignment="1">
      <alignment horizontal="center" vertical="center"/>
    </xf>
    <xf numFmtId="0" fontId="5" fillId="0" borderId="17" xfId="0" applyFont="1" applyBorder="1" applyAlignment="1">
      <alignment horizontal="left" vertical="top" wrapText="1"/>
    </xf>
    <xf numFmtId="0" fontId="4" fillId="0" borderId="19" xfId="0" applyFont="1" applyBorder="1" applyAlignment="1">
      <alignment horizontal="left" vertical="top" wrapText="1"/>
    </xf>
    <xf numFmtId="0" fontId="4" fillId="12" borderId="12" xfId="0" applyFont="1" applyFill="1" applyBorder="1" applyAlignment="1">
      <alignment horizontal="left" vertical="top" wrapText="1"/>
    </xf>
    <xf numFmtId="0" fontId="5" fillId="12" borderId="17" xfId="0" applyFont="1" applyFill="1" applyBorder="1" applyAlignment="1">
      <alignment horizontal="left" vertical="top" wrapText="1"/>
    </xf>
    <xf numFmtId="0" fontId="4" fillId="14" borderId="12" xfId="0" applyFont="1" applyFill="1" applyBorder="1" applyAlignment="1">
      <alignment horizontal="left" vertical="top" wrapText="1"/>
    </xf>
    <xf numFmtId="0" fontId="5" fillId="14" borderId="17" xfId="0" applyFont="1" applyFill="1" applyBorder="1" applyAlignment="1">
      <alignment horizontal="left" vertical="top" wrapText="1"/>
    </xf>
    <xf numFmtId="0" fontId="3" fillId="0" borderId="0" xfId="0" applyFont="1"/>
    <xf numFmtId="2" fontId="5" fillId="0" borderId="1" xfId="0" applyNumberFormat="1" applyFont="1" applyBorder="1" applyAlignment="1">
      <alignment horizontal="center" vertical="center"/>
    </xf>
    <xf numFmtId="2" fontId="5" fillId="0" borderId="25" xfId="0" applyNumberFormat="1" applyFont="1" applyBorder="1" applyAlignment="1">
      <alignment horizontal="center" vertical="center"/>
    </xf>
    <xf numFmtId="2" fontId="5" fillId="0" borderId="27" xfId="0" applyNumberFormat="1" applyFont="1" applyBorder="1" applyAlignment="1">
      <alignment horizontal="center" vertical="center"/>
    </xf>
    <xf numFmtId="0" fontId="5" fillId="16" borderId="5" xfId="0" applyFont="1" applyFill="1" applyBorder="1" applyAlignment="1">
      <alignment horizontal="center" vertical="center"/>
    </xf>
    <xf numFmtId="0" fontId="5" fillId="16" borderId="12" xfId="0" applyFont="1" applyFill="1" applyBorder="1" applyAlignment="1">
      <alignment horizontal="center" vertical="center"/>
    </xf>
    <xf numFmtId="0" fontId="5" fillId="15" borderId="12" xfId="0" applyFont="1" applyFill="1" applyBorder="1"/>
    <xf numFmtId="14" fontId="5" fillId="17" borderId="1" xfId="0" applyNumberFormat="1" applyFont="1" applyFill="1" applyBorder="1" applyAlignment="1">
      <alignment horizontal="center" vertical="center"/>
    </xf>
    <xf numFmtId="20" fontId="5" fillId="17" borderId="1" xfId="0" applyNumberFormat="1" applyFont="1" applyFill="1" applyBorder="1"/>
    <xf numFmtId="2" fontId="5" fillId="17" borderId="6" xfId="0" applyNumberFormat="1" applyFont="1" applyFill="1" applyBorder="1"/>
    <xf numFmtId="0" fontId="5" fillId="17" borderId="1" xfId="0" applyFont="1" applyFill="1" applyBorder="1" applyAlignment="1">
      <alignment horizontal="center" vertical="center"/>
    </xf>
    <xf numFmtId="20" fontId="5" fillId="0" borderId="17" xfId="0" applyNumberFormat="1" applyFont="1" applyBorder="1" applyAlignment="1">
      <alignment horizontal="left" vertical="top" wrapText="1"/>
    </xf>
    <xf numFmtId="0" fontId="0" fillId="13" borderId="17" xfId="0" applyFill="1" applyBorder="1" applyAlignment="1">
      <alignment horizontal="left" wrapText="1"/>
    </xf>
    <xf numFmtId="0" fontId="4" fillId="7" borderId="0" xfId="0" applyFont="1" applyFill="1" applyAlignment="1">
      <alignment horizontal="left" vertical="top"/>
    </xf>
    <xf numFmtId="0" fontId="4" fillId="13" borderId="19" xfId="0" applyFont="1" applyFill="1" applyBorder="1" applyAlignment="1">
      <alignment horizontal="left" vertical="top" wrapText="1"/>
    </xf>
    <xf numFmtId="14" fontId="4" fillId="13" borderId="36" xfId="0" applyNumberFormat="1" applyFont="1" applyFill="1" applyBorder="1" applyAlignment="1">
      <alignment horizontal="center" vertical="center"/>
    </xf>
    <xf numFmtId="20" fontId="0" fillId="3" borderId="12" xfId="0" applyNumberFormat="1" applyFill="1" applyBorder="1" applyAlignment="1">
      <alignment horizontal="left" wrapText="1"/>
    </xf>
    <xf numFmtId="20" fontId="0" fillId="0" borderId="12" xfId="0" applyNumberFormat="1" applyBorder="1" applyAlignment="1">
      <alignment horizontal="left" wrapText="1"/>
    </xf>
    <xf numFmtId="0" fontId="0" fillId="0" borderId="12" xfId="0" applyBorder="1" applyAlignment="1">
      <alignment horizontal="left" wrapText="1"/>
    </xf>
    <xf numFmtId="0" fontId="0" fillId="0" borderId="0" xfId="0" applyAlignment="1">
      <alignment horizontal="left" wrapText="1"/>
    </xf>
    <xf numFmtId="0" fontId="0" fillId="0" borderId="19" xfId="0" applyBorder="1" applyAlignment="1">
      <alignment horizontal="left" wrapText="1"/>
    </xf>
    <xf numFmtId="0" fontId="0" fillId="0" borderId="0" xfId="0" applyAlignment="1">
      <alignment vertical="center"/>
    </xf>
    <xf numFmtId="20" fontId="0" fillId="3" borderId="12" xfId="0" applyNumberFormat="1" applyFill="1" applyBorder="1" applyAlignment="1">
      <alignment horizontal="center" vertical="center" wrapText="1"/>
    </xf>
    <xf numFmtId="0" fontId="0" fillId="13" borderId="17" xfId="0" applyFill="1" applyBorder="1" applyAlignment="1">
      <alignment horizontal="left" vertical="top" wrapText="1"/>
    </xf>
    <xf numFmtId="0" fontId="7" fillId="0" borderId="1" xfId="0" applyFont="1" applyBorder="1" applyAlignment="1">
      <alignment horizontal="center" vertical="center"/>
    </xf>
    <xf numFmtId="0" fontId="7" fillId="0" borderId="25" xfId="0" applyFont="1" applyBorder="1" applyAlignment="1">
      <alignment horizontal="center" vertical="center"/>
    </xf>
    <xf numFmtId="0" fontId="3" fillId="0" borderId="12" xfId="0" applyFont="1" applyBorder="1" applyAlignment="1">
      <alignment horizontal="center" vertical="center"/>
    </xf>
    <xf numFmtId="0" fontId="3" fillId="0" borderId="12" xfId="0" applyFont="1" applyBorder="1" applyAlignment="1">
      <alignment horizontal="center"/>
    </xf>
    <xf numFmtId="0" fontId="0" fillId="0" borderId="12" xfId="0" applyBorder="1" applyAlignment="1">
      <alignment horizontal="center"/>
    </xf>
    <xf numFmtId="0" fontId="3" fillId="0" borderId="16" xfId="0" applyFont="1" applyBorder="1"/>
    <xf numFmtId="0" fontId="3" fillId="14" borderId="16" xfId="0" applyFont="1" applyFill="1" applyBorder="1"/>
    <xf numFmtId="0" fontId="3" fillId="12" borderId="16" xfId="0" applyFont="1" applyFill="1" applyBorder="1"/>
    <xf numFmtId="0" fontId="3" fillId="0" borderId="18" xfId="0" applyFont="1" applyBorder="1"/>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41" xfId="0" applyFont="1" applyBorder="1" applyAlignment="1">
      <alignment horizontal="center" vertical="center"/>
    </xf>
    <xf numFmtId="0" fontId="3" fillId="0" borderId="41" xfId="0" applyFont="1" applyBorder="1" applyAlignment="1">
      <alignment horizontal="center"/>
    </xf>
    <xf numFmtId="0" fontId="0" fillId="0" borderId="42" xfId="0" applyBorder="1" applyAlignment="1">
      <alignment horizontal="center"/>
    </xf>
    <xf numFmtId="0" fontId="11" fillId="0" borderId="12" xfId="0" applyFont="1" applyBorder="1" applyAlignment="1">
      <alignment horizontal="center" vertical="center"/>
    </xf>
    <xf numFmtId="0" fontId="0" fillId="0" borderId="12" xfId="0" applyBorder="1" applyAlignment="1">
      <alignment horizontal="center" vertical="center"/>
    </xf>
    <xf numFmtId="0" fontId="0" fillId="0" borderId="12" xfId="0" applyBorder="1"/>
    <xf numFmtId="0" fontId="11" fillId="0" borderId="16" xfId="0" applyFont="1" applyBorder="1" applyAlignment="1">
      <alignment horizontal="center" vertical="center"/>
    </xf>
    <xf numFmtId="0" fontId="0" fillId="0" borderId="17" xfId="0" applyBorder="1" applyAlignment="1">
      <alignment horizontal="center" vertical="center"/>
    </xf>
    <xf numFmtId="0" fontId="0" fillId="0" borderId="16" xfId="0" applyBorder="1" applyAlignment="1">
      <alignment horizontal="center"/>
    </xf>
    <xf numFmtId="0" fontId="0" fillId="0" borderId="17" xfId="0" applyBorder="1"/>
    <xf numFmtId="0" fontId="3" fillId="0" borderId="16" xfId="0" applyFont="1" applyBorder="1" applyAlignment="1">
      <alignment horizontal="center"/>
    </xf>
    <xf numFmtId="0" fontId="0" fillId="0" borderId="20" xfId="0" applyBorder="1"/>
    <xf numFmtId="0" fontId="7" fillId="0" borderId="12" xfId="0" applyFont="1" applyBorder="1" applyAlignment="1">
      <alignment horizontal="center" vertical="center"/>
    </xf>
    <xf numFmtId="14" fontId="5" fillId="0" borderId="12" xfId="0" applyNumberFormat="1" applyFont="1" applyBorder="1" applyAlignment="1">
      <alignment horizontal="center" vertical="center" wrapText="1"/>
    </xf>
    <xf numFmtId="14" fontId="5" fillId="0" borderId="12" xfId="0" applyNumberFormat="1" applyFont="1" applyBorder="1" applyAlignment="1">
      <alignment horizontal="center" vertical="center"/>
    </xf>
    <xf numFmtId="0" fontId="13" fillId="0" borderId="12" xfId="0" applyFont="1" applyBorder="1" applyAlignment="1">
      <alignment horizontal="center" vertical="center"/>
    </xf>
    <xf numFmtId="0" fontId="14" fillId="0" borderId="0" xfId="0" applyFont="1"/>
    <xf numFmtId="0" fontId="13" fillId="0" borderId="0" xfId="0" applyFont="1"/>
    <xf numFmtId="0" fontId="14" fillId="0" borderId="0" xfId="0" applyFont="1" applyAlignment="1">
      <alignment wrapText="1"/>
    </xf>
    <xf numFmtId="0" fontId="15" fillId="18" borderId="12" xfId="0" applyFont="1" applyFill="1" applyBorder="1" applyAlignment="1">
      <alignment horizontal="center" vertical="center" wrapText="1"/>
    </xf>
    <xf numFmtId="0" fontId="17" fillId="0" borderId="0" xfId="0" applyFont="1"/>
    <xf numFmtId="0" fontId="14" fillId="0" borderId="12" xfId="0" applyFont="1" applyBorder="1" applyAlignment="1">
      <alignment horizontal="center" vertical="center"/>
    </xf>
    <xf numFmtId="0" fontId="14" fillId="0" borderId="0" xfId="0" applyFont="1" applyAlignment="1">
      <alignment horizontal="center" vertical="center" wrapText="1"/>
    </xf>
    <xf numFmtId="0" fontId="14" fillId="0" borderId="0" xfId="0" applyFont="1" applyAlignment="1">
      <alignment horizontal="center" wrapText="1"/>
    </xf>
    <xf numFmtId="0" fontId="14" fillId="0" borderId="0" xfId="0" applyFont="1" applyAlignment="1">
      <alignment horizontal="center"/>
    </xf>
    <xf numFmtId="0" fontId="14" fillId="0" borderId="0" xfId="0" applyFont="1" applyAlignment="1">
      <alignment horizontal="center" vertical="center"/>
    </xf>
    <xf numFmtId="0" fontId="14" fillId="0" borderId="19" xfId="0" applyFont="1" applyBorder="1" applyAlignment="1">
      <alignment horizontal="center" vertical="center"/>
    </xf>
    <xf numFmtId="0" fontId="15" fillId="18" borderId="14" xfId="0" applyFont="1" applyFill="1" applyBorder="1" applyAlignment="1">
      <alignment horizontal="center" vertical="center" wrapText="1"/>
    </xf>
    <xf numFmtId="0" fontId="15" fillId="18" borderId="15" xfId="0" applyFont="1" applyFill="1" applyBorder="1" applyAlignment="1">
      <alignment horizontal="center" vertical="center" wrapText="1"/>
    </xf>
    <xf numFmtId="0" fontId="15" fillId="18" borderId="43" xfId="0" applyFont="1" applyFill="1" applyBorder="1" applyAlignment="1">
      <alignment horizontal="center" vertical="center" wrapText="1"/>
    </xf>
    <xf numFmtId="0" fontId="14" fillId="0" borderId="17" xfId="0" applyFont="1" applyBorder="1" applyAlignment="1">
      <alignment horizontal="center" vertical="center"/>
    </xf>
    <xf numFmtId="0" fontId="14" fillId="23" borderId="44" xfId="0" applyFont="1" applyFill="1" applyBorder="1" applyAlignment="1">
      <alignment horizontal="center" vertical="center"/>
    </xf>
    <xf numFmtId="0" fontId="12" fillId="0" borderId="0" xfId="0" applyFont="1" applyAlignment="1">
      <alignment horizontal="center" vertical="center" wrapText="1"/>
    </xf>
    <xf numFmtId="14" fontId="19" fillId="0" borderId="0" xfId="0" applyNumberFormat="1" applyFont="1" applyAlignment="1">
      <alignment horizontal="center" vertical="center" wrapText="1"/>
    </xf>
    <xf numFmtId="14" fontId="20" fillId="0" borderId="0" xfId="0" applyNumberFormat="1" applyFont="1" applyAlignment="1">
      <alignment horizontal="center" vertical="center"/>
    </xf>
    <xf numFmtId="0" fontId="20" fillId="0" borderId="0" xfId="0" applyFont="1" applyAlignment="1">
      <alignment horizontal="center" vertical="center"/>
    </xf>
    <xf numFmtId="0" fontId="21" fillId="0" borderId="0" xfId="0" applyFont="1" applyAlignment="1">
      <alignment horizontal="left" vertical="center" wrapText="1"/>
    </xf>
    <xf numFmtId="0" fontId="19" fillId="0" borderId="0" xfId="0" applyFont="1" applyAlignment="1">
      <alignment horizontal="center" vertical="center" wrapText="1"/>
    </xf>
    <xf numFmtId="0" fontId="14" fillId="24" borderId="13" xfId="0" applyFont="1" applyFill="1" applyBorder="1" applyAlignment="1">
      <alignment horizontal="center" vertical="center"/>
    </xf>
    <xf numFmtId="0" fontId="16" fillId="24" borderId="15" xfId="0" applyFont="1" applyFill="1" applyBorder="1" applyAlignment="1">
      <alignment horizontal="center" vertical="center"/>
    </xf>
    <xf numFmtId="0" fontId="23" fillId="0" borderId="0" xfId="0" applyFont="1" applyAlignment="1">
      <alignment horizontal="left" vertical="center" wrapText="1"/>
    </xf>
    <xf numFmtId="0" fontId="16" fillId="24" borderId="16" xfId="0" applyFont="1" applyFill="1" applyBorder="1" applyAlignment="1">
      <alignment horizontal="center" vertical="center"/>
    </xf>
    <xf numFmtId="0" fontId="14" fillId="25" borderId="17" xfId="0" applyFont="1" applyFill="1" applyBorder="1" applyAlignment="1">
      <alignment horizontal="center" vertical="center"/>
    </xf>
    <xf numFmtId="0" fontId="20" fillId="0" borderId="0" xfId="0" applyFont="1" applyAlignment="1">
      <alignment horizontal="left" vertical="center" wrapText="1"/>
    </xf>
    <xf numFmtId="0" fontId="16" fillId="24" borderId="18" xfId="0" applyFont="1" applyFill="1" applyBorder="1" applyAlignment="1">
      <alignment horizontal="center" vertical="center"/>
    </xf>
    <xf numFmtId="0" fontId="14" fillId="25" borderId="20" xfId="0" applyFont="1" applyFill="1" applyBorder="1" applyAlignment="1">
      <alignment horizontal="center" vertical="center"/>
    </xf>
    <xf numFmtId="0" fontId="19" fillId="0" borderId="0" xfId="0" applyFont="1" applyAlignment="1">
      <alignment horizontal="left" vertical="center" wrapText="1"/>
    </xf>
    <xf numFmtId="14" fontId="24" fillId="0" borderId="45" xfId="0" applyNumberFormat="1" applyFont="1" applyBorder="1" applyAlignment="1">
      <alignment horizontal="center" vertical="center" wrapText="1"/>
    </xf>
    <xf numFmtId="14" fontId="25" fillId="0" borderId="45" xfId="0" applyNumberFormat="1" applyFont="1" applyBorder="1" applyAlignment="1">
      <alignment horizontal="center" vertical="center"/>
    </xf>
    <xf numFmtId="0" fontId="25" fillId="0" borderId="45" xfId="0" applyFont="1" applyBorder="1" applyAlignment="1">
      <alignment horizontal="center" vertical="center"/>
    </xf>
    <xf numFmtId="0" fontId="24" fillId="0" borderId="12" xfId="0" applyFont="1" applyBorder="1" applyAlignment="1">
      <alignment horizontal="left" vertical="center"/>
    </xf>
    <xf numFmtId="14" fontId="24" fillId="0" borderId="12" xfId="0" applyNumberFormat="1" applyFont="1" applyBorder="1" applyAlignment="1">
      <alignment horizontal="center" vertical="center" wrapText="1"/>
    </xf>
    <xf numFmtId="14" fontId="25" fillId="0" borderId="12" xfId="0" applyNumberFormat="1" applyFont="1" applyBorder="1" applyAlignment="1">
      <alignment horizontal="center" vertical="center"/>
    </xf>
    <xf numFmtId="0" fontId="25" fillId="0" borderId="12" xfId="0" applyFont="1" applyBorder="1" applyAlignment="1">
      <alignment horizontal="center" vertical="center"/>
    </xf>
    <xf numFmtId="0" fontId="14" fillId="0" borderId="12" xfId="0" applyFont="1" applyBorder="1" applyAlignment="1">
      <alignment horizontal="center" vertical="center" wrapText="1"/>
    </xf>
    <xf numFmtId="0" fontId="24" fillId="0" borderId="12" xfId="0" applyFont="1" applyBorder="1" applyAlignment="1">
      <alignment horizontal="left" vertical="center" indent="1"/>
    </xf>
    <xf numFmtId="0" fontId="24" fillId="0" borderId="12" xfId="0" applyFont="1" applyBorder="1" applyAlignment="1">
      <alignment horizontal="left" vertical="center" indent="2"/>
    </xf>
    <xf numFmtId="0" fontId="25" fillId="0" borderId="12" xfId="0" applyFont="1" applyBorder="1" applyAlignment="1">
      <alignment horizontal="left" vertical="center"/>
    </xf>
    <xf numFmtId="0" fontId="24" fillId="19" borderId="12" xfId="0" applyFont="1" applyFill="1" applyBorder="1" applyAlignment="1">
      <alignment horizontal="left" vertical="center"/>
    </xf>
    <xf numFmtId="14" fontId="24" fillId="19" borderId="12" xfId="0" applyNumberFormat="1" applyFont="1" applyFill="1" applyBorder="1" applyAlignment="1">
      <alignment horizontal="center" vertical="center" wrapText="1"/>
    </xf>
    <xf numFmtId="14" fontId="25" fillId="19" borderId="12" xfId="0" applyNumberFormat="1" applyFont="1" applyFill="1" applyBorder="1" applyAlignment="1">
      <alignment horizontal="center" vertical="center"/>
    </xf>
    <xf numFmtId="0" fontId="25" fillId="19" borderId="12" xfId="0" applyFont="1" applyFill="1" applyBorder="1" applyAlignment="1">
      <alignment horizontal="center" vertical="center"/>
    </xf>
    <xf numFmtId="0" fontId="14" fillId="19" borderId="12" xfId="0" applyFont="1" applyFill="1" applyBorder="1" applyAlignment="1">
      <alignment horizontal="center" vertical="center" wrapText="1"/>
    </xf>
    <xf numFmtId="0" fontId="24" fillId="22" borderId="12" xfId="0" applyFont="1" applyFill="1" applyBorder="1" applyAlignment="1">
      <alignment horizontal="left" vertical="center"/>
    </xf>
    <xf numFmtId="14" fontId="24" fillId="22" borderId="12" xfId="0" applyNumberFormat="1" applyFont="1" applyFill="1" applyBorder="1" applyAlignment="1">
      <alignment horizontal="center" vertical="center" wrapText="1"/>
    </xf>
    <xf numFmtId="0" fontId="25" fillId="22" borderId="12" xfId="0" applyFont="1" applyFill="1" applyBorder="1" applyAlignment="1">
      <alignment horizontal="center" vertical="center"/>
    </xf>
    <xf numFmtId="0" fontId="14" fillId="22" borderId="12" xfId="0" applyFont="1" applyFill="1" applyBorder="1" applyAlignment="1">
      <alignment horizontal="center" vertical="center" wrapText="1"/>
    </xf>
    <xf numFmtId="14" fontId="25" fillId="22" borderId="12" xfId="0" applyNumberFormat="1" applyFont="1" applyFill="1" applyBorder="1" applyAlignment="1">
      <alignment horizontal="center" vertical="center"/>
    </xf>
    <xf numFmtId="0" fontId="24" fillId="21" borderId="12" xfId="0" applyFont="1" applyFill="1" applyBorder="1" applyAlignment="1">
      <alignment horizontal="left" vertical="center"/>
    </xf>
    <xf numFmtId="14" fontId="24" fillId="21" borderId="12" xfId="0" applyNumberFormat="1" applyFont="1" applyFill="1" applyBorder="1" applyAlignment="1">
      <alignment horizontal="center" vertical="center" wrapText="1"/>
    </xf>
    <xf numFmtId="14" fontId="25" fillId="21" borderId="12" xfId="0" applyNumberFormat="1" applyFont="1" applyFill="1" applyBorder="1" applyAlignment="1">
      <alignment horizontal="center" vertical="center"/>
    </xf>
    <xf numFmtId="0" fontId="25" fillId="21" borderId="12" xfId="0" applyFont="1" applyFill="1" applyBorder="1" applyAlignment="1">
      <alignment horizontal="center" vertical="center"/>
    </xf>
    <xf numFmtId="0" fontId="14" fillId="21" borderId="12" xfId="0" applyFont="1" applyFill="1" applyBorder="1" applyAlignment="1">
      <alignment horizontal="center" vertical="center" wrapText="1"/>
    </xf>
    <xf numFmtId="0" fontId="24" fillId="26" borderId="12" xfId="0" applyFont="1" applyFill="1" applyBorder="1" applyAlignment="1">
      <alignment horizontal="left" vertical="center"/>
    </xf>
    <xf numFmtId="14" fontId="24" fillId="26" borderId="12" xfId="0" applyNumberFormat="1" applyFont="1" applyFill="1" applyBorder="1" applyAlignment="1">
      <alignment horizontal="center" vertical="center" wrapText="1"/>
    </xf>
    <xf numFmtId="14" fontId="25" fillId="26" borderId="12" xfId="0" applyNumberFormat="1" applyFont="1" applyFill="1" applyBorder="1" applyAlignment="1">
      <alignment horizontal="center" vertical="center"/>
    </xf>
    <xf numFmtId="0" fontId="25" fillId="26" borderId="12" xfId="0" applyFont="1" applyFill="1" applyBorder="1" applyAlignment="1">
      <alignment horizontal="center" vertical="center"/>
    </xf>
    <xf numFmtId="0" fontId="14" fillId="0" borderId="12" xfId="0" quotePrefix="1" applyFont="1" applyBorder="1" applyAlignment="1">
      <alignment horizontal="center" vertical="center" wrapText="1"/>
    </xf>
    <xf numFmtId="0" fontId="14" fillId="26" borderId="12" xfId="0" quotePrefix="1" applyFont="1" applyFill="1" applyBorder="1" applyAlignment="1">
      <alignment horizontal="center" vertical="center" wrapText="1"/>
    </xf>
    <xf numFmtId="0" fontId="24" fillId="27" borderId="12" xfId="0" applyFont="1" applyFill="1" applyBorder="1" applyAlignment="1">
      <alignment horizontal="left" vertical="center"/>
    </xf>
    <xf numFmtId="14" fontId="24" fillId="27" borderId="12" xfId="0" applyNumberFormat="1" applyFont="1" applyFill="1" applyBorder="1" applyAlignment="1">
      <alignment horizontal="center" vertical="center" wrapText="1"/>
    </xf>
    <xf numFmtId="14" fontId="25" fillId="27" borderId="12" xfId="0" applyNumberFormat="1" applyFont="1" applyFill="1" applyBorder="1" applyAlignment="1">
      <alignment horizontal="center" vertical="center"/>
    </xf>
    <xf numFmtId="0" fontId="25" fillId="27" borderId="12" xfId="0" applyFont="1" applyFill="1" applyBorder="1" applyAlignment="1">
      <alignment horizontal="center" vertical="center"/>
    </xf>
    <xf numFmtId="0" fontId="14" fillId="27" borderId="12" xfId="0" quotePrefix="1" applyFont="1" applyFill="1" applyBorder="1" applyAlignment="1">
      <alignment horizontal="center" vertical="center" wrapText="1"/>
    </xf>
    <xf numFmtId="0" fontId="22" fillId="0" borderId="12" xfId="0" applyFont="1" applyBorder="1" applyAlignment="1">
      <alignment horizontal="center" wrapText="1"/>
    </xf>
    <xf numFmtId="14" fontId="28" fillId="0" borderId="45" xfId="0" applyNumberFormat="1" applyFont="1" applyBorder="1" applyAlignment="1">
      <alignment horizontal="center" vertical="center"/>
    </xf>
    <xf numFmtId="0" fontId="22" fillId="0" borderId="19" xfId="0" applyFont="1" applyBorder="1" applyAlignment="1">
      <alignment horizontal="center" wrapText="1"/>
    </xf>
    <xf numFmtId="14" fontId="24" fillId="0" borderId="52" xfId="0" applyNumberFormat="1" applyFont="1" applyBorder="1" applyAlignment="1">
      <alignment horizontal="center" vertical="center" wrapText="1"/>
    </xf>
    <xf numFmtId="14" fontId="25" fillId="0" borderId="52" xfId="0" applyNumberFormat="1" applyFont="1" applyBorder="1" applyAlignment="1">
      <alignment horizontal="center" vertical="center"/>
    </xf>
    <xf numFmtId="0" fontId="25" fillId="0" borderId="52" xfId="0" applyFont="1" applyBorder="1" applyAlignment="1">
      <alignment horizontal="center" vertical="center"/>
    </xf>
    <xf numFmtId="0" fontId="14" fillId="0" borderId="20" xfId="0" applyFont="1" applyBorder="1" applyAlignment="1">
      <alignment horizontal="center" vertical="center"/>
    </xf>
    <xf numFmtId="2" fontId="13" fillId="0" borderId="12" xfId="0" applyNumberFormat="1" applyFont="1" applyBorder="1" applyAlignment="1">
      <alignment horizontal="center" vertical="center"/>
    </xf>
    <xf numFmtId="0" fontId="7" fillId="0" borderId="17" xfId="0" applyFont="1" applyBorder="1" applyAlignment="1">
      <alignment horizontal="center" vertical="center"/>
    </xf>
    <xf numFmtId="0" fontId="6" fillId="0" borderId="16" xfId="0" applyFont="1" applyBorder="1" applyAlignment="1">
      <alignment horizontal="center" vertical="center" wrapText="1"/>
    </xf>
    <xf numFmtId="0" fontId="13" fillId="0" borderId="17" xfId="0" applyFont="1" applyBorder="1" applyAlignment="1">
      <alignment horizontal="center" vertical="center"/>
    </xf>
    <xf numFmtId="0" fontId="12" fillId="0" borderId="18" xfId="0" applyFont="1" applyBorder="1" applyAlignment="1">
      <alignment horizontal="center" vertical="center" wrapText="1"/>
    </xf>
    <xf numFmtId="14" fontId="5" fillId="0" borderId="19" xfId="0" applyNumberFormat="1" applyFont="1" applyBorder="1" applyAlignment="1">
      <alignment horizontal="center" vertical="center" wrapText="1"/>
    </xf>
    <xf numFmtId="14" fontId="5" fillId="0" borderId="19" xfId="0" applyNumberFormat="1"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0" xfId="0" applyFont="1" applyAlignment="1">
      <alignment horizontal="center" vertical="center"/>
    </xf>
    <xf numFmtId="2" fontId="13" fillId="0" borderId="0" xfId="0" applyNumberFormat="1" applyFont="1" applyAlignment="1">
      <alignment horizontal="center" vertical="center"/>
    </xf>
    <xf numFmtId="2" fontId="5" fillId="8" borderId="11" xfId="0" applyNumberFormat="1" applyFont="1" applyFill="1" applyBorder="1" applyAlignment="1">
      <alignment horizontal="right" vertical="center"/>
    </xf>
    <xf numFmtId="0" fontId="5" fillId="0" borderId="0" xfId="0" applyFont="1" applyAlignment="1">
      <alignment horizontal="right" vertical="center"/>
    </xf>
    <xf numFmtId="2" fontId="5" fillId="0" borderId="0" xfId="0" applyNumberFormat="1" applyFont="1" applyAlignment="1">
      <alignment horizontal="right" vertical="center"/>
    </xf>
    <xf numFmtId="14" fontId="5" fillId="17" borderId="12" xfId="0" applyNumberFormat="1" applyFont="1" applyFill="1" applyBorder="1"/>
    <xf numFmtId="14" fontId="5" fillId="0" borderId="0" xfId="0" applyNumberFormat="1" applyFont="1"/>
    <xf numFmtId="2" fontId="5" fillId="17" borderId="12" xfId="0" applyNumberFormat="1" applyFont="1" applyFill="1" applyBorder="1"/>
    <xf numFmtId="14" fontId="5" fillId="0" borderId="0" xfId="0" applyNumberFormat="1" applyFont="1" applyAlignment="1">
      <alignment horizontal="center" vertical="center"/>
    </xf>
    <xf numFmtId="0" fontId="20" fillId="0" borderId="12" xfId="0" applyFont="1" applyBorder="1" applyAlignment="1">
      <alignment horizontal="center" vertical="center"/>
    </xf>
    <xf numFmtId="0" fontId="20" fillId="0" borderId="12" xfId="0" applyFont="1" applyBorder="1" applyAlignment="1">
      <alignment horizontal="center" vertical="center" wrapText="1"/>
    </xf>
    <xf numFmtId="0" fontId="20" fillId="29" borderId="12" xfId="0" applyFont="1" applyFill="1" applyBorder="1" applyAlignment="1">
      <alignment vertical="center"/>
    </xf>
    <xf numFmtId="14" fontId="20" fillId="0" borderId="12" xfId="0" applyNumberFormat="1" applyFont="1" applyBorder="1" applyAlignment="1">
      <alignment horizontal="center" vertical="center" wrapText="1"/>
    </xf>
    <xf numFmtId="0" fontId="20" fillId="0" borderId="12" xfId="0" applyFont="1" applyBorder="1" applyAlignment="1">
      <alignment vertical="center"/>
    </xf>
    <xf numFmtId="0" fontId="20" fillId="0" borderId="12" xfId="0" applyFont="1" applyBorder="1" applyAlignment="1">
      <alignment horizontal="left" vertical="center" wrapText="1"/>
    </xf>
    <xf numFmtId="14" fontId="20" fillId="0" borderId="12" xfId="0" applyNumberFormat="1" applyFont="1" applyBorder="1" applyAlignment="1">
      <alignment horizontal="left" vertical="center" wrapText="1"/>
    </xf>
    <xf numFmtId="2" fontId="20" fillId="0" borderId="12" xfId="0" applyNumberFormat="1" applyFont="1" applyBorder="1" applyAlignment="1">
      <alignment horizontal="right" vertical="center"/>
    </xf>
    <xf numFmtId="2" fontId="20" fillId="0" borderId="12" xfId="0" applyNumberFormat="1" applyFont="1" applyBorder="1" applyAlignment="1">
      <alignment horizontal="right" vertical="center" wrapText="1"/>
    </xf>
    <xf numFmtId="164" fontId="20" fillId="0" borderId="12" xfId="0" applyNumberFormat="1" applyFont="1" applyBorder="1" applyAlignment="1">
      <alignment horizontal="right" vertical="center" wrapText="1"/>
    </xf>
    <xf numFmtId="0" fontId="20" fillId="0" borderId="47" xfId="0" applyFont="1" applyBorder="1" applyAlignment="1">
      <alignment horizontal="center" vertical="center" wrapText="1"/>
    </xf>
    <xf numFmtId="164" fontId="14" fillId="0" borderId="0" xfId="0" applyNumberFormat="1" applyFont="1"/>
    <xf numFmtId="0" fontId="14" fillId="0" borderId="12" xfId="0" applyFont="1" applyBorder="1" applyAlignment="1">
      <alignment horizontal="center"/>
    </xf>
    <xf numFmtId="164" fontId="20" fillId="0" borderId="12" xfId="0" applyNumberFormat="1" applyFont="1" applyBorder="1" applyAlignment="1">
      <alignment horizontal="right" vertical="center"/>
    </xf>
    <xf numFmtId="0" fontId="14" fillId="0" borderId="12" xfId="0" applyFont="1" applyBorder="1" applyAlignment="1">
      <alignment horizontal="left" vertical="center"/>
    </xf>
    <xf numFmtId="0" fontId="14" fillId="0" borderId="12" xfId="0" applyFont="1" applyBorder="1" applyAlignment="1">
      <alignment horizontal="left" vertical="center" wrapText="1"/>
    </xf>
    <xf numFmtId="164" fontId="14" fillId="0" borderId="12" xfId="0" applyNumberFormat="1" applyFont="1" applyBorder="1" applyAlignment="1">
      <alignment horizontal="right" vertical="center"/>
    </xf>
    <xf numFmtId="0" fontId="14" fillId="0" borderId="12" xfId="0" applyFont="1" applyBorder="1" applyAlignment="1">
      <alignment wrapText="1"/>
    </xf>
    <xf numFmtId="0" fontId="14" fillId="0" borderId="12" xfId="0" applyFont="1" applyBorder="1"/>
    <xf numFmtId="164" fontId="14" fillId="0" borderId="12" xfId="0" applyNumberFormat="1" applyFont="1" applyBorder="1"/>
    <xf numFmtId="14" fontId="5" fillId="0" borderId="46" xfId="0" applyNumberFormat="1" applyFont="1" applyBorder="1" applyAlignment="1">
      <alignment horizontal="center" vertical="center"/>
    </xf>
    <xf numFmtId="2" fontId="5" fillId="0" borderId="53" xfId="0" applyNumberFormat="1" applyFont="1" applyBorder="1" applyAlignment="1">
      <alignment horizontal="center" vertical="center"/>
    </xf>
    <xf numFmtId="2" fontId="5" fillId="0" borderId="30" xfId="0" applyNumberFormat="1" applyFont="1" applyBorder="1" applyAlignment="1">
      <alignment horizontal="center" vertical="center"/>
    </xf>
    <xf numFmtId="0" fontId="4" fillId="0" borderId="16" xfId="0" applyFont="1" applyBorder="1" applyAlignment="1">
      <alignment horizontal="center" vertical="center" wrapText="1"/>
    </xf>
    <xf numFmtId="0" fontId="4" fillId="10" borderId="13" xfId="0" applyFont="1" applyFill="1" applyBorder="1" applyAlignment="1">
      <alignment horizontal="center"/>
    </xf>
    <xf numFmtId="0" fontId="4" fillId="10" borderId="14" xfId="0" applyFont="1" applyFill="1" applyBorder="1" applyAlignment="1">
      <alignment horizontal="center"/>
    </xf>
    <xf numFmtId="0" fontId="4" fillId="10" borderId="16" xfId="0" applyFont="1" applyFill="1" applyBorder="1" applyAlignment="1">
      <alignment horizontal="center"/>
    </xf>
    <xf numFmtId="0" fontId="4" fillId="10" borderId="12" xfId="0" applyFont="1" applyFill="1" applyBorder="1" applyAlignment="1">
      <alignment horizontal="center"/>
    </xf>
    <xf numFmtId="0" fontId="8" fillId="10" borderId="14"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4" xfId="0" applyFont="1" applyFill="1" applyBorder="1" applyAlignment="1">
      <alignment horizontal="center" vertical="center"/>
    </xf>
    <xf numFmtId="0" fontId="8" fillId="10" borderId="15" xfId="0" applyFont="1" applyFill="1" applyBorder="1" applyAlignment="1">
      <alignment horizontal="center" vertical="center"/>
    </xf>
    <xf numFmtId="0" fontId="8" fillId="10" borderId="12" xfId="0" applyFont="1" applyFill="1" applyBorder="1" applyAlignment="1">
      <alignment horizontal="center" vertical="center"/>
    </xf>
    <xf numFmtId="0" fontId="8" fillId="10" borderId="17"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2" xfId="0" applyFont="1" applyFill="1" applyBorder="1" applyAlignment="1">
      <alignment horizontal="center" vertical="center" wrapText="1"/>
    </xf>
    <xf numFmtId="0" fontId="0" fillId="6" borderId="13" xfId="0" applyFill="1" applyBorder="1" applyAlignment="1">
      <alignment horizontal="center" wrapText="1"/>
    </xf>
    <xf numFmtId="0" fontId="0" fillId="6" borderId="14" xfId="0" applyFill="1" applyBorder="1" applyAlignment="1">
      <alignment horizontal="center" wrapText="1"/>
    </xf>
    <xf numFmtId="0" fontId="0" fillId="6" borderId="15" xfId="0" applyFill="1" applyBorder="1" applyAlignment="1">
      <alignment horizontal="center" wrapText="1"/>
    </xf>
    <xf numFmtId="0" fontId="4" fillId="13" borderId="16"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4" fillId="13" borderId="37" xfId="0" applyFont="1" applyFill="1" applyBorder="1" applyAlignment="1">
      <alignment horizontal="center" vertical="center" wrapText="1"/>
    </xf>
    <xf numFmtId="0" fontId="4" fillId="13" borderId="33" xfId="0" applyFont="1" applyFill="1" applyBorder="1" applyAlignment="1">
      <alignment horizontal="center" vertical="center" wrapText="1"/>
    </xf>
    <xf numFmtId="0" fontId="4" fillId="13" borderId="34" xfId="0" applyFont="1" applyFill="1" applyBorder="1" applyAlignment="1">
      <alignment horizontal="center" vertical="center" wrapText="1"/>
    </xf>
    <xf numFmtId="0" fontId="4" fillId="13" borderId="35" xfId="0" applyFont="1" applyFill="1" applyBorder="1" applyAlignment="1">
      <alignment horizontal="center" vertical="center" wrapText="1"/>
    </xf>
    <xf numFmtId="0" fontId="4" fillId="13" borderId="38" xfId="0" applyFont="1" applyFill="1" applyBorder="1" applyAlignment="1">
      <alignment horizontal="center" vertical="center" wrapText="1"/>
    </xf>
    <xf numFmtId="0" fontId="0" fillId="0" borderId="39" xfId="0" applyBorder="1" applyAlignment="1">
      <alignment horizontal="center"/>
    </xf>
    <xf numFmtId="0" fontId="1" fillId="0" borderId="16" xfId="0" applyFont="1" applyBorder="1" applyAlignment="1">
      <alignment horizontal="center" vertical="center" wrapText="1"/>
    </xf>
    <xf numFmtId="0" fontId="3" fillId="0" borderId="13" xfId="0" applyFont="1" applyBorder="1" applyAlignment="1">
      <alignment horizontal="center" wrapText="1"/>
    </xf>
    <xf numFmtId="0" fontId="3" fillId="0" borderId="14" xfId="0" applyFont="1" applyBorder="1" applyAlignment="1">
      <alignment horizontal="center" wrapText="1"/>
    </xf>
    <xf numFmtId="0" fontId="2" fillId="0" borderId="12" xfId="0" applyFont="1" applyBorder="1" applyAlignment="1">
      <alignment horizontal="center" vertical="center"/>
    </xf>
    <xf numFmtId="0" fontId="10" fillId="0" borderId="12" xfId="0" applyFont="1" applyBorder="1" applyAlignment="1">
      <alignment horizontal="center" vertical="center" wrapText="1"/>
    </xf>
    <xf numFmtId="0" fontId="2" fillId="0" borderId="18" xfId="0" applyFont="1" applyBorder="1" applyAlignment="1">
      <alignment horizontal="center"/>
    </xf>
    <xf numFmtId="0" fontId="2" fillId="0" borderId="19" xfId="0" applyFont="1" applyBorder="1" applyAlignment="1">
      <alignment horizontal="center"/>
    </xf>
    <xf numFmtId="0" fontId="10" fillId="0" borderId="13" xfId="0" applyFont="1" applyBorder="1" applyAlignment="1">
      <alignment horizontal="center" wrapText="1"/>
    </xf>
    <xf numFmtId="0" fontId="0" fillId="0" borderId="14" xfId="0" applyBorder="1" applyAlignment="1">
      <alignment horizontal="center" wrapText="1"/>
    </xf>
    <xf numFmtId="0" fontId="0" fillId="0" borderId="40" xfId="0" applyBorder="1" applyAlignment="1">
      <alignment horizontal="center" wrapText="1"/>
    </xf>
    <xf numFmtId="0" fontId="10" fillId="0" borderId="14" xfId="0" applyFont="1" applyBorder="1" applyAlignment="1">
      <alignment horizontal="center" wrapText="1"/>
    </xf>
    <xf numFmtId="0" fontId="10" fillId="0" borderId="15" xfId="0" applyFont="1" applyBorder="1" applyAlignment="1">
      <alignment horizontal="center" wrapText="1"/>
    </xf>
    <xf numFmtId="0" fontId="2" fillId="0" borderId="16" xfId="0" applyFont="1" applyBorder="1" applyAlignment="1">
      <alignment horizontal="center" vertical="center"/>
    </xf>
    <xf numFmtId="0" fontId="2" fillId="0" borderId="12" xfId="0" applyFont="1" applyBorder="1" applyAlignment="1">
      <alignment horizontal="center" wrapText="1"/>
    </xf>
    <xf numFmtId="0" fontId="2" fillId="0" borderId="41" xfId="0" applyFont="1" applyBorder="1" applyAlignment="1">
      <alignment horizontal="center" wrapText="1"/>
    </xf>
    <xf numFmtId="0" fontId="10" fillId="0" borderId="12" xfId="0" applyFont="1" applyBorder="1" applyAlignment="1">
      <alignment horizontal="center" vertical="center"/>
    </xf>
    <xf numFmtId="0" fontId="10" fillId="0" borderId="16" xfId="0" applyFont="1" applyBorder="1" applyAlignment="1">
      <alignment horizontal="center" vertical="center"/>
    </xf>
    <xf numFmtId="0" fontId="2" fillId="0" borderId="17" xfId="0" applyFont="1" applyBorder="1" applyAlignment="1">
      <alignment horizontal="center" vertical="center"/>
    </xf>
    <xf numFmtId="0" fontId="5" fillId="0" borderId="13" xfId="0" applyFont="1" applyBorder="1" applyAlignment="1">
      <alignment horizontal="center" vertical="center"/>
    </xf>
    <xf numFmtId="0" fontId="5" fillId="0" borderId="16" xfId="0" applyFont="1" applyBorder="1" applyAlignment="1">
      <alignment horizontal="center" vertical="center"/>
    </xf>
    <xf numFmtId="0" fontId="6" fillId="0" borderId="22" xfId="0" applyFont="1" applyBorder="1" applyAlignment="1">
      <alignment horizontal="center" vertical="center" wrapText="1"/>
    </xf>
    <xf numFmtId="0" fontId="6" fillId="0" borderId="23"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26" xfId="0" applyFont="1" applyBorder="1" applyAlignment="1">
      <alignment horizontal="center" vertical="center"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2" fontId="5" fillId="0" borderId="12" xfId="0" applyNumberFormat="1" applyFont="1" applyBorder="1" applyAlignment="1">
      <alignment horizontal="center"/>
    </xf>
    <xf numFmtId="0" fontId="5" fillId="0" borderId="12" xfId="0" applyFont="1" applyBorder="1" applyAlignment="1">
      <alignment horizontal="center"/>
    </xf>
    <xf numFmtId="2" fontId="5" fillId="0" borderId="12" xfId="0" applyNumberFormat="1" applyFont="1" applyBorder="1" applyAlignment="1">
      <alignment horizontal="center" vertical="center"/>
    </xf>
    <xf numFmtId="0" fontId="5" fillId="0" borderId="12" xfId="0" applyFont="1" applyBorder="1" applyAlignment="1">
      <alignment horizontal="center" vertical="center"/>
    </xf>
    <xf numFmtId="0" fontId="7" fillId="0" borderId="21" xfId="0" applyFont="1" applyBorder="1" applyAlignment="1">
      <alignment horizontal="center" vertical="center" wrapText="1"/>
    </xf>
    <xf numFmtId="0" fontId="7" fillId="0" borderId="29" xfId="0" applyFont="1" applyBorder="1" applyAlignment="1">
      <alignment horizontal="center" vertical="center" wrapText="1"/>
    </xf>
    <xf numFmtId="0" fontId="7" fillId="0" borderId="24" xfId="0" applyFont="1" applyBorder="1" applyAlignment="1">
      <alignment horizontal="center" vertical="center" wrapText="1"/>
    </xf>
    <xf numFmtId="0" fontId="7" fillId="0" borderId="1"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7" fillId="0" borderId="25" xfId="0" applyFont="1" applyBorder="1" applyAlignment="1">
      <alignment horizontal="center" vertical="center"/>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30" xfId="0" applyFont="1" applyBorder="1" applyAlignment="1">
      <alignment horizontal="center" vertical="center"/>
    </xf>
    <xf numFmtId="0" fontId="7" fillId="0" borderId="31" xfId="0" applyFont="1" applyBorder="1" applyAlignment="1">
      <alignment horizontal="center" vertical="center"/>
    </xf>
    <xf numFmtId="0" fontId="29" fillId="28" borderId="12" xfId="0" applyFont="1" applyFill="1" applyBorder="1" applyAlignment="1">
      <alignment horizontal="center" vertical="center"/>
    </xf>
    <xf numFmtId="0" fontId="29" fillId="28" borderId="0" xfId="0" applyFont="1" applyFill="1" applyAlignment="1">
      <alignment horizontal="center" vertical="center" wrapText="1"/>
    </xf>
    <xf numFmtId="0" fontId="29" fillId="28" borderId="55" xfId="0" applyFont="1" applyFill="1" applyBorder="1" applyAlignment="1">
      <alignment horizontal="center" vertical="center" wrapText="1"/>
    </xf>
    <xf numFmtId="0" fontId="29" fillId="28" borderId="0" xfId="0" applyFont="1" applyFill="1" applyAlignment="1">
      <alignment horizontal="center" vertical="center"/>
    </xf>
    <xf numFmtId="0" fontId="29" fillId="28" borderId="54" xfId="0" applyFont="1" applyFill="1" applyBorder="1" applyAlignment="1">
      <alignment horizontal="center" vertical="center"/>
    </xf>
    <xf numFmtId="0" fontId="20" fillId="0" borderId="12" xfId="0" applyFont="1" applyBorder="1" applyAlignment="1">
      <alignment horizontal="center" vertical="center"/>
    </xf>
    <xf numFmtId="0" fontId="20" fillId="0" borderId="12" xfId="0" applyFont="1" applyBorder="1" applyAlignment="1">
      <alignment horizontal="center" vertical="center" wrapText="1"/>
    </xf>
    <xf numFmtId="0" fontId="20" fillId="0" borderId="41" xfId="0" applyFont="1" applyBorder="1" applyAlignment="1">
      <alignment horizontal="center" vertical="center" wrapText="1"/>
    </xf>
    <xf numFmtId="0" fontId="20" fillId="0" borderId="36" xfId="0" applyFont="1" applyBorder="1" applyAlignment="1">
      <alignment horizontal="center" vertical="center" wrapText="1"/>
    </xf>
    <xf numFmtId="0" fontId="14" fillId="0" borderId="12" xfId="0" applyFont="1" applyBorder="1" applyAlignment="1">
      <alignment horizontal="center" vertical="center" wrapText="1"/>
    </xf>
    <xf numFmtId="164" fontId="20" fillId="0" borderId="12" xfId="0" applyNumberFormat="1" applyFont="1" applyBorder="1" applyAlignment="1">
      <alignment horizontal="right" vertical="center" wrapText="1"/>
    </xf>
    <xf numFmtId="164" fontId="14" fillId="0" borderId="56" xfId="0" applyNumberFormat="1" applyFont="1" applyBorder="1" applyAlignment="1">
      <alignment horizontal="right"/>
    </xf>
    <xf numFmtId="164" fontId="14" fillId="0" borderId="57" xfId="0" applyNumberFormat="1" applyFont="1" applyBorder="1" applyAlignment="1">
      <alignment horizontal="right"/>
    </xf>
    <xf numFmtId="0" fontId="14" fillId="0" borderId="12" xfId="0" applyFont="1" applyBorder="1" applyAlignment="1">
      <alignment horizontal="center"/>
    </xf>
    <xf numFmtId="0" fontId="14" fillId="0" borderId="41" xfId="0" applyFont="1" applyBorder="1" applyAlignment="1">
      <alignment horizontal="center"/>
    </xf>
    <xf numFmtId="0" fontId="14" fillId="0" borderId="45" xfId="0" applyFont="1" applyBorder="1" applyAlignment="1">
      <alignment horizontal="center"/>
    </xf>
    <xf numFmtId="0" fontId="14" fillId="0" borderId="36" xfId="0" applyFont="1" applyBorder="1" applyAlignment="1">
      <alignment horizontal="center"/>
    </xf>
    <xf numFmtId="0" fontId="20" fillId="0" borderId="46" xfId="0" applyFont="1" applyBorder="1" applyAlignment="1">
      <alignment horizontal="center" vertical="center"/>
    </xf>
    <xf numFmtId="0" fontId="20" fillId="0" borderId="48" xfId="0" applyFont="1" applyBorder="1" applyAlignment="1">
      <alignment horizontal="center" vertical="center"/>
    </xf>
    <xf numFmtId="0" fontId="14" fillId="0" borderId="41" xfId="0" applyFont="1" applyBorder="1" applyAlignment="1">
      <alignment horizontal="center" vertical="center"/>
    </xf>
    <xf numFmtId="0" fontId="14" fillId="0" borderId="36" xfId="0" applyFont="1" applyBorder="1" applyAlignment="1">
      <alignment horizontal="center" vertical="center"/>
    </xf>
    <xf numFmtId="0" fontId="14" fillId="0" borderId="46" xfId="0" applyFont="1" applyBorder="1" applyAlignment="1">
      <alignment horizontal="center" vertical="center"/>
    </xf>
    <xf numFmtId="0" fontId="14" fillId="0" borderId="48" xfId="0" applyFont="1" applyBorder="1" applyAlignment="1">
      <alignment horizontal="center" vertical="center"/>
    </xf>
    <xf numFmtId="0" fontId="15" fillId="18" borderId="12" xfId="0" applyFont="1" applyFill="1" applyBorder="1" applyAlignment="1">
      <alignment horizontal="center" vertical="center" wrapText="1"/>
    </xf>
    <xf numFmtId="0" fontId="18" fillId="26" borderId="12" xfId="0" applyFont="1" applyFill="1" applyBorder="1" applyAlignment="1">
      <alignment horizontal="center" vertical="center" textRotation="90" wrapText="1"/>
    </xf>
    <xf numFmtId="0" fontId="26" fillId="0" borderId="12" xfId="0" applyFont="1" applyBorder="1" applyAlignment="1">
      <alignment horizontal="center" vertical="center"/>
    </xf>
    <xf numFmtId="0" fontId="18" fillId="20" borderId="12" xfId="0" applyFont="1" applyFill="1" applyBorder="1" applyAlignment="1">
      <alignment horizontal="center" vertical="center" textRotation="90" wrapText="1"/>
    </xf>
    <xf numFmtId="0" fontId="27" fillId="21" borderId="46" xfId="0" applyFont="1" applyFill="1" applyBorder="1" applyAlignment="1">
      <alignment horizontal="center" vertical="center" textRotation="90" wrapText="1"/>
    </xf>
    <xf numFmtId="0" fontId="27" fillId="21" borderId="47" xfId="0" applyFont="1" applyFill="1" applyBorder="1" applyAlignment="1">
      <alignment horizontal="center" vertical="center" textRotation="90" wrapText="1"/>
    </xf>
    <xf numFmtId="0" fontId="27" fillId="21" borderId="48" xfId="0" applyFont="1" applyFill="1" applyBorder="1" applyAlignment="1">
      <alignment horizontal="center" vertical="center" textRotation="90" wrapText="1"/>
    </xf>
    <xf numFmtId="0" fontId="18" fillId="19" borderId="12" xfId="0" applyFont="1" applyFill="1" applyBorder="1" applyAlignment="1">
      <alignment horizontal="center" vertical="center" textRotation="90" wrapText="1"/>
    </xf>
    <xf numFmtId="0" fontId="18" fillId="22" borderId="12" xfId="0" applyFont="1" applyFill="1" applyBorder="1" applyAlignment="1">
      <alignment horizontal="center" vertical="center" textRotation="90" wrapText="1"/>
    </xf>
    <xf numFmtId="0" fontId="17" fillId="14" borderId="12" xfId="0" applyFont="1" applyFill="1" applyBorder="1" applyAlignment="1">
      <alignment horizontal="center" vertical="center" textRotation="90"/>
    </xf>
    <xf numFmtId="0" fontId="16" fillId="18" borderId="12" xfId="0" applyFont="1" applyFill="1" applyBorder="1" applyAlignment="1">
      <alignment horizontal="center"/>
    </xf>
    <xf numFmtId="0" fontId="15" fillId="18" borderId="13" xfId="0" applyFont="1" applyFill="1" applyBorder="1" applyAlignment="1">
      <alignment horizontal="center" vertical="center" wrapText="1"/>
    </xf>
    <xf numFmtId="0" fontId="15" fillId="18" borderId="14" xfId="0" applyFont="1" applyFill="1" applyBorder="1" applyAlignment="1">
      <alignment horizontal="center" vertical="center" wrapText="1"/>
    </xf>
    <xf numFmtId="0" fontId="22" fillId="0" borderId="16" xfId="0" applyFont="1" applyBorder="1" applyAlignment="1">
      <alignment horizontal="center" wrapText="1"/>
    </xf>
    <xf numFmtId="0" fontId="22" fillId="0" borderId="12" xfId="0" applyFont="1" applyBorder="1" applyAlignment="1">
      <alignment horizontal="center" wrapText="1"/>
    </xf>
    <xf numFmtId="0" fontId="22" fillId="0" borderId="51" xfId="0" applyFont="1" applyBorder="1" applyAlignment="1">
      <alignment horizontal="center" wrapText="1"/>
    </xf>
    <xf numFmtId="0" fontId="22" fillId="0" borderId="36" xfId="0" applyFont="1" applyBorder="1" applyAlignment="1">
      <alignment horizontal="center" wrapText="1"/>
    </xf>
    <xf numFmtId="0" fontId="22" fillId="0" borderId="37" xfId="0" applyFont="1" applyBorder="1" applyAlignment="1">
      <alignment horizontal="center" vertical="center" wrapText="1"/>
    </xf>
    <xf numFmtId="0" fontId="22" fillId="0" borderId="49" xfId="0" applyFont="1" applyBorder="1" applyAlignment="1">
      <alignment horizontal="center" vertical="center" wrapText="1"/>
    </xf>
    <xf numFmtId="0" fontId="22" fillId="0" borderId="50" xfId="0" applyFont="1" applyBorder="1" applyAlignment="1">
      <alignment horizontal="center" vertical="center" wrapText="1"/>
    </xf>
    <xf numFmtId="0" fontId="5" fillId="0" borderId="32" xfId="0" applyFont="1" applyBorder="1" applyAlignment="1">
      <alignment horizontal="center"/>
    </xf>
    <xf numFmtId="14" fontId="5" fillId="17" borderId="0" xfId="0" applyNumberFormat="1" applyFont="1" applyFill="1" applyBorder="1"/>
    <xf numFmtId="2" fontId="5" fillId="17" borderId="0" xfId="0" applyNumberFormat="1" applyFont="1" applyFill="1" applyBorder="1"/>
    <xf numFmtId="0" fontId="5" fillId="0" borderId="0" xfId="0" applyFont="1" applyBorder="1" applyAlignment="1">
      <alignment horizontal="left" vertical="center"/>
    </xf>
    <xf numFmtId="0" fontId="5" fillId="0" borderId="54" xfId="0" applyFont="1" applyBorder="1" applyAlignment="1">
      <alignment horizontal="left" vertical="center"/>
    </xf>
    <xf numFmtId="0" fontId="5" fillId="9" borderId="12" xfId="0" applyFont="1" applyFill="1" applyBorder="1" applyAlignment="1">
      <alignment horizontal="center" vertical="center" wrapText="1"/>
    </xf>
    <xf numFmtId="0" fontId="5" fillId="9" borderId="12" xfId="0" applyFont="1" applyFill="1" applyBorder="1" applyAlignment="1">
      <alignment horizontal="right" vertical="center" wrapText="1"/>
    </xf>
    <xf numFmtId="2" fontId="5" fillId="9" borderId="12" xfId="0" applyNumberFormat="1" applyFont="1" applyFill="1" applyBorder="1" applyAlignment="1">
      <alignment horizontal="right" vertical="center" wrapText="1"/>
    </xf>
    <xf numFmtId="0" fontId="5" fillId="9" borderId="12" xfId="0" applyFont="1" applyFill="1" applyBorder="1" applyAlignment="1">
      <alignment horizontal="center" vertical="center"/>
    </xf>
    <xf numFmtId="14" fontId="5" fillId="8" borderId="12" xfId="0" applyNumberFormat="1" applyFont="1" applyFill="1" applyBorder="1" applyAlignment="1">
      <alignment horizontal="center" vertical="center"/>
    </xf>
    <xf numFmtId="0" fontId="5" fillId="8" borderId="12" xfId="0" applyFont="1" applyFill="1" applyBorder="1" applyAlignment="1">
      <alignment horizontal="center" vertical="center"/>
    </xf>
    <xf numFmtId="20" fontId="5" fillId="8" borderId="12" xfId="0" applyNumberFormat="1" applyFont="1" applyFill="1" applyBorder="1" applyAlignment="1">
      <alignment horizontal="right" vertical="center"/>
    </xf>
    <xf numFmtId="2" fontId="5" fillId="8" borderId="12" xfId="0" applyNumberFormat="1" applyFont="1" applyFill="1" applyBorder="1" applyAlignment="1">
      <alignment horizontal="right" vertical="center"/>
    </xf>
    <xf numFmtId="0" fontId="5" fillId="9" borderId="12" xfId="0" applyFont="1" applyFill="1" applyBorder="1" applyAlignment="1">
      <alignment horizontal="center" vertical="center"/>
    </xf>
    <xf numFmtId="14" fontId="5" fillId="8" borderId="12" xfId="0" applyNumberFormat="1" applyFont="1" applyFill="1" applyBorder="1" applyAlignment="1">
      <alignment horizontal="center" vertical="center"/>
    </xf>
    <xf numFmtId="20" fontId="5" fillId="8" borderId="12" xfId="0" applyNumberFormat="1" applyFont="1" applyFill="1" applyBorder="1" applyAlignment="1">
      <alignment horizontal="right" vertical="center"/>
    </xf>
    <xf numFmtId="2" fontId="5" fillId="8" borderId="12" xfId="0" applyNumberFormat="1" applyFont="1" applyFill="1" applyBorder="1" applyAlignment="1">
      <alignment horizontal="right" vertical="center"/>
    </xf>
    <xf numFmtId="0" fontId="5" fillId="8" borderId="12" xfId="0" applyFont="1" applyFill="1" applyBorder="1" applyAlignment="1">
      <alignment horizontal="center" vertical="center" wrapText="1"/>
    </xf>
    <xf numFmtId="0" fontId="5" fillId="8" borderId="12" xfId="0" applyFont="1" applyFill="1" applyBorder="1" applyAlignment="1">
      <alignment horizontal="center" vertical="center"/>
    </xf>
    <xf numFmtId="14" fontId="5" fillId="8" borderId="1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9933"/>
      <color rgb="FFB05479"/>
      <color rgb="FF952F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797e48c82e48b7c8/Escritorio/docuemtos%20actuales/Registro%20de%20actividades%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rativa - Fechas"/>
      <sheetName val="Ana"/>
      <sheetName val="Miguel"/>
      <sheetName val="Dias y horas"/>
      <sheetName val="Datos"/>
      <sheetName val="Datos CN"/>
      <sheetName val="Costos"/>
      <sheetName val="Comparativa"/>
      <sheetName val="Resumen"/>
      <sheetName val="Minutas"/>
    </sheetNames>
    <sheetDataSet>
      <sheetData sheetId="0"/>
      <sheetData sheetId="1"/>
      <sheetData sheetId="2"/>
      <sheetData sheetId="3"/>
      <sheetData sheetId="4"/>
      <sheetData sheetId="5">
        <row r="4">
          <cell r="A4" t="str">
            <v>Correccion</v>
          </cell>
          <cell r="B4">
            <v>44956</v>
          </cell>
          <cell r="C4">
            <v>44959</v>
          </cell>
        </row>
        <row r="5">
          <cell r="A5" t="str">
            <v>TT2</v>
          </cell>
          <cell r="B5">
            <v>44956</v>
          </cell>
          <cell r="C5">
            <v>45079</v>
          </cell>
        </row>
        <row r="6">
          <cell r="A6" t="str">
            <v>Implementacion</v>
          </cell>
          <cell r="B6">
            <v>44956</v>
          </cell>
          <cell r="C6">
            <v>45054</v>
          </cell>
        </row>
        <row r="7">
          <cell r="A7" t="str">
            <v>Pruebas</v>
          </cell>
          <cell r="B7">
            <v>45055</v>
          </cell>
          <cell r="C7">
            <v>45066</v>
          </cell>
        </row>
        <row r="8">
          <cell r="A8" t="str">
            <v>Mantenimiento</v>
          </cell>
          <cell r="B8">
            <v>45057</v>
          </cell>
          <cell r="C8">
            <v>45070</v>
          </cell>
        </row>
        <row r="9">
          <cell r="A9" t="str">
            <v>Termino</v>
          </cell>
          <cell r="B9">
            <v>45071</v>
          </cell>
          <cell r="C9">
            <v>45079</v>
          </cell>
        </row>
      </sheetData>
      <sheetData sheetId="6"/>
      <sheetData sheetId="7"/>
      <sheetData sheetId="8"/>
      <sheetData sheetId="9">
        <row r="13">
          <cell r="F13">
            <v>0.83333333333333304</v>
          </cell>
        </row>
        <row r="14">
          <cell r="F14">
            <v>1.3333333333333339</v>
          </cell>
        </row>
        <row r="15">
          <cell r="F15">
            <v>2</v>
          </cell>
        </row>
        <row r="16">
          <cell r="F16">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204"/>
  <sheetViews>
    <sheetView zoomScale="80" zoomScaleNormal="80" workbookViewId="0">
      <selection activeCell="F129" sqref="A1:F129"/>
    </sheetView>
  </sheetViews>
  <sheetFormatPr baseColWidth="10" defaultColWidth="9" defaultRowHeight="15.6" x14ac:dyDescent="0.3"/>
  <cols>
    <col min="1" max="1" width="10.69921875" style="17" customWidth="1"/>
    <col min="2" max="2" width="12.8984375" style="4" customWidth="1"/>
    <col min="3" max="3" width="10.09765625" style="4" bestFit="1" customWidth="1"/>
    <col min="4" max="4" width="34.19921875" style="40" customWidth="1"/>
    <col min="5" max="5" width="9" style="50"/>
    <col min="6" max="6" width="41.3984375" style="5" customWidth="1"/>
    <col min="7" max="8" width="9" style="6"/>
    <col min="9" max="9" width="18.09765625" style="50" customWidth="1"/>
    <col min="10" max="16384" width="9" style="6"/>
  </cols>
  <sheetData>
    <row r="1" spans="1:9" ht="14.25" customHeight="1" x14ac:dyDescent="0.3">
      <c r="A1" s="225"/>
      <c r="B1" s="226"/>
      <c r="C1" s="229" t="s">
        <v>0</v>
      </c>
      <c r="D1" s="229"/>
      <c r="E1" s="231" t="s">
        <v>1</v>
      </c>
      <c r="F1" s="232"/>
    </row>
    <row r="2" spans="1:9" ht="12.75" customHeight="1" x14ac:dyDescent="0.3">
      <c r="A2" s="227"/>
      <c r="B2" s="228"/>
      <c r="C2" s="230"/>
      <c r="D2" s="230"/>
      <c r="E2" s="233"/>
      <c r="F2" s="234"/>
    </row>
    <row r="3" spans="1:9" ht="28.5" customHeight="1" x14ac:dyDescent="0.3">
      <c r="A3" s="22" t="s">
        <v>2</v>
      </c>
      <c r="B3" s="19" t="s">
        <v>3</v>
      </c>
      <c r="C3" s="19" t="s">
        <v>4</v>
      </c>
      <c r="D3" s="19" t="s">
        <v>5</v>
      </c>
      <c r="E3" s="39" t="s">
        <v>4</v>
      </c>
      <c r="F3" s="23" t="s">
        <v>5</v>
      </c>
    </row>
    <row r="4" spans="1:9" ht="140.4" x14ac:dyDescent="0.3">
      <c r="A4" s="224">
        <v>1</v>
      </c>
      <c r="B4" s="24">
        <v>44956</v>
      </c>
      <c r="C4" s="34">
        <f>Ana!E4</f>
        <v>4</v>
      </c>
      <c r="D4" s="38" t="str">
        <f>Ana!F4</f>
        <v>Minuta
Repositorio Unity
Pruebas de importacion
Probando scripts de seguimiento
Viendo las modificaciones de los requerimientos
Haciendo pruebas con repositorio
Acomodando plan de mitigaciones
Pruebas de NavMesh</v>
      </c>
      <c r="E4" s="47">
        <f>Miguel!D4*24</f>
        <v>3</v>
      </c>
      <c r="F4" s="51" t="str">
        <f>Miguel!E4</f>
        <v>Cronograma, asignacion de fechas y actividades, correcion del SRS y los requerimientos correspondientes</v>
      </c>
      <c r="I4" s="50">
        <f>COUNTIF(C4,"&lt;&gt;0")+COUNTIF(E4,"&lt;&gt;0")</f>
        <v>2</v>
      </c>
    </row>
    <row r="5" spans="1:9" ht="31.2" x14ac:dyDescent="0.3">
      <c r="A5" s="224"/>
      <c r="B5" s="24">
        <v>44957</v>
      </c>
      <c r="C5" s="34">
        <f>Ana!E5</f>
        <v>2</v>
      </c>
      <c r="D5" s="38" t="str">
        <f>Ana!F5</f>
        <v>Modificaciones en cronograma</v>
      </c>
      <c r="E5" s="47">
        <f>Miguel!D5*24</f>
        <v>2.9999999999999987</v>
      </c>
      <c r="F5" s="51" t="str">
        <f>Miguel!E5</f>
        <v>Cronograma, correcion y asignacion de fechas y actividades</v>
      </c>
      <c r="I5" s="50">
        <f t="shared" ref="I5:I68" si="0">COUNTIF(C5,"&lt;&gt;0")+COUNTIF(E5,"&lt;&gt;0")</f>
        <v>2</v>
      </c>
    </row>
    <row r="6" spans="1:9" ht="31.2" x14ac:dyDescent="0.3">
      <c r="A6" s="224"/>
      <c r="B6" s="24">
        <v>44958</v>
      </c>
      <c r="C6" s="34">
        <f>Ana!E6</f>
        <v>1.5</v>
      </c>
      <c r="D6" s="38" t="str">
        <f>Ana!F6</f>
        <v>Probando y creando la escena de Menu</v>
      </c>
      <c r="E6" s="47">
        <f>Miguel!D6*24</f>
        <v>3.9999999999999991</v>
      </c>
      <c r="F6" s="51" t="str">
        <f>Miguel!E6</f>
        <v>correcion del documento de Pruebas y Matriz de trazabilidad</v>
      </c>
      <c r="I6" s="50">
        <f t="shared" si="0"/>
        <v>2</v>
      </c>
    </row>
    <row r="7" spans="1:9" ht="46.8" x14ac:dyDescent="0.3">
      <c r="A7" s="224"/>
      <c r="B7" s="24">
        <v>44959</v>
      </c>
      <c r="C7" s="34">
        <f>Ana!E7</f>
        <v>4.5</v>
      </c>
      <c r="D7" s="38" t="str">
        <f>Ana!F7</f>
        <v>Terminando la programacion basica del buscador
Realizando las otras vistas para el movil</v>
      </c>
      <c r="E7" s="47">
        <f>Miguel!D7*24</f>
        <v>2.0000000000000009</v>
      </c>
      <c r="F7" s="51" t="str">
        <f>Miguel!E7</f>
        <v>Modelado de edificios</v>
      </c>
      <c r="I7" s="50">
        <f t="shared" si="0"/>
        <v>2</v>
      </c>
    </row>
    <row r="8" spans="1:9" ht="171.6" x14ac:dyDescent="0.3">
      <c r="A8" s="224"/>
      <c r="B8" s="24">
        <v>44960</v>
      </c>
      <c r="C8" s="34">
        <f>Ana!E8</f>
        <v>4.25</v>
      </c>
      <c r="D8" s="38" t="str">
        <f>Ana!F8</f>
        <v>Viendo el script para la rotacion de la camara
Viendo funciones de NavMesh
Corrigiendo los canvas de las escenas
Agregando el slaider
Probando el slaider
Haciendo recorrido primera persona
Funcionamiento velocidad camara
Ajustando los textMeshPro
OffMesh link
Explicarle plastic</v>
      </c>
      <c r="E8" s="47">
        <f>Miguel!D8*24</f>
        <v>3</v>
      </c>
      <c r="F8" s="51" t="str">
        <f>Miguel!E8</f>
        <v>Modelado de edificios</v>
      </c>
      <c r="I8" s="50">
        <f t="shared" si="0"/>
        <v>2</v>
      </c>
    </row>
    <row r="9" spans="1:9" x14ac:dyDescent="0.3">
      <c r="A9" s="224"/>
      <c r="B9" s="20">
        <v>44961</v>
      </c>
      <c r="C9" s="35">
        <f>Ana!E9</f>
        <v>0</v>
      </c>
      <c r="D9" s="53">
        <f>Ana!F9</f>
        <v>0</v>
      </c>
      <c r="E9" s="48">
        <f>Miguel!D9*24</f>
        <v>0</v>
      </c>
      <c r="F9" s="54">
        <f>Miguel!E9</f>
        <v>0</v>
      </c>
      <c r="I9" s="50">
        <f t="shared" si="0"/>
        <v>0</v>
      </c>
    </row>
    <row r="10" spans="1:9" x14ac:dyDescent="0.3">
      <c r="A10" s="224"/>
      <c r="B10" s="20">
        <v>44962</v>
      </c>
      <c r="C10" s="35">
        <f>Ana!E10</f>
        <v>0</v>
      </c>
      <c r="D10" s="53">
        <f>Ana!F10</f>
        <v>0</v>
      </c>
      <c r="E10" s="48">
        <f>Miguel!D10*24</f>
        <v>0</v>
      </c>
      <c r="F10" s="54">
        <f>Miguel!E10</f>
        <v>0</v>
      </c>
      <c r="I10" s="50">
        <f t="shared" si="0"/>
        <v>0</v>
      </c>
    </row>
    <row r="11" spans="1:9" x14ac:dyDescent="0.3">
      <c r="A11" s="224">
        <v>2</v>
      </c>
      <c r="B11" s="21">
        <v>44963</v>
      </c>
      <c r="C11" s="36">
        <f>Ana!E11</f>
        <v>0</v>
      </c>
      <c r="D11" s="55">
        <f>Ana!F11</f>
        <v>0</v>
      </c>
      <c r="E11" s="49">
        <f>Miguel!D11*24</f>
        <v>3.9999999999999991</v>
      </c>
      <c r="F11" s="56" t="str">
        <f>Miguel!E11</f>
        <v>Modelado de edificios</v>
      </c>
      <c r="I11" s="50">
        <f t="shared" si="0"/>
        <v>1</v>
      </c>
    </row>
    <row r="12" spans="1:9" ht="62.4" x14ac:dyDescent="0.3">
      <c r="A12" s="224"/>
      <c r="B12" s="24">
        <v>44964</v>
      </c>
      <c r="C12" s="34">
        <f>Ana!E12</f>
        <v>4</v>
      </c>
      <c r="D12" s="38" t="str">
        <f>Ana!F12</f>
        <v>Modificando colores
Prueba en modelo / NavMesh
Botones scripts
Busqueda por botones</v>
      </c>
      <c r="E12" s="47">
        <f>Miguel!D12*24</f>
        <v>3.9999999999999991</v>
      </c>
      <c r="F12" s="51" t="str">
        <f>Miguel!E12</f>
        <v>Modelado de edificios</v>
      </c>
      <c r="I12" s="50">
        <f t="shared" si="0"/>
        <v>2</v>
      </c>
    </row>
    <row r="13" spans="1:9" ht="46.8" x14ac:dyDescent="0.3">
      <c r="A13" s="224"/>
      <c r="B13" s="24">
        <v>44965</v>
      </c>
      <c r="C13" s="34">
        <f>Ana!E13</f>
        <v>4.5</v>
      </c>
      <c r="D13" s="38" t="str">
        <f>Ana!F13</f>
        <v>Funcionamiento de busqueda por elementos
Pasar parametros en otras escenas</v>
      </c>
      <c r="E13" s="47">
        <f>Miguel!D13*24</f>
        <v>3</v>
      </c>
      <c r="F13" s="51" t="str">
        <f>Miguel!E13</f>
        <v>Modelado de edificios</v>
      </c>
      <c r="I13" s="50">
        <f t="shared" si="0"/>
        <v>2</v>
      </c>
    </row>
    <row r="14" spans="1:9" ht="46.8" x14ac:dyDescent="0.3">
      <c r="A14" s="224"/>
      <c r="B14" s="24">
        <v>44966</v>
      </c>
      <c r="C14" s="34">
        <f>Ana!E14</f>
        <v>2</v>
      </c>
      <c r="D14" s="38" t="str">
        <f>Ana!F14</f>
        <v>Terminar el pase de informacion de una escena a otra
Investigar lo de la rotacion de pantalla</v>
      </c>
      <c r="E14" s="47">
        <f>Miguel!D14*24</f>
        <v>6</v>
      </c>
      <c r="F14" s="51" t="str">
        <f>Miguel!E14</f>
        <v>recuperacion de los modelos</v>
      </c>
      <c r="I14" s="50">
        <f t="shared" si="0"/>
        <v>2</v>
      </c>
    </row>
    <row r="15" spans="1:9" ht="109.2" x14ac:dyDescent="0.3">
      <c r="A15" s="224"/>
      <c r="B15" s="24">
        <v>44967</v>
      </c>
      <c r="C15" s="34">
        <f>Ana!E15</f>
        <v>4</v>
      </c>
      <c r="D15" s="38" t="str">
        <f>Ana!F15</f>
        <v>Realizar minutas faltantes
Actualizando: plan de riesgo y mitigaciones
Actualizacion de tabla de verciones
Buscando diseño para los botones
Investigando como se hacen lecturas en JSON para realizar pruebas</v>
      </c>
      <c r="E15" s="47">
        <f>Miguel!D15*24</f>
        <v>3.9999999999999991</v>
      </c>
      <c r="F15" s="51" t="str">
        <f>Miguel!E15</f>
        <v>recuperacion de los modelos</v>
      </c>
      <c r="I15" s="50">
        <f t="shared" si="0"/>
        <v>2</v>
      </c>
    </row>
    <row r="16" spans="1:9" x14ac:dyDescent="0.3">
      <c r="A16" s="224"/>
      <c r="B16" s="20">
        <v>44968</v>
      </c>
      <c r="C16" s="35">
        <f>Ana!E16</f>
        <v>0</v>
      </c>
      <c r="D16" s="53">
        <f>Ana!F16</f>
        <v>0</v>
      </c>
      <c r="E16" s="48">
        <f>Miguel!D16*24</f>
        <v>3.9999999999999991</v>
      </c>
      <c r="F16" s="54" t="str">
        <f>Miguel!E16</f>
        <v>recuperacion de los modelos</v>
      </c>
      <c r="I16" s="50">
        <f t="shared" si="0"/>
        <v>1</v>
      </c>
    </row>
    <row r="17" spans="1:9" x14ac:dyDescent="0.3">
      <c r="A17" s="224"/>
      <c r="B17" s="20">
        <v>44969</v>
      </c>
      <c r="C17" s="35">
        <f>Ana!E17</f>
        <v>1</v>
      </c>
      <c r="D17" s="53" t="str">
        <f>Ana!F17</f>
        <v>Diseño de primeros botones</v>
      </c>
      <c r="E17" s="48">
        <f>Miguel!D17*24</f>
        <v>1.9999999999999982</v>
      </c>
      <c r="F17" s="54" t="str">
        <f>Miguel!E17</f>
        <v>modelado partes internas</v>
      </c>
      <c r="I17" s="50">
        <f t="shared" si="0"/>
        <v>2</v>
      </c>
    </row>
    <row r="18" spans="1:9" ht="156" x14ac:dyDescent="0.3">
      <c r="A18" s="224">
        <v>3</v>
      </c>
      <c r="B18" s="24">
        <v>44970</v>
      </c>
      <c r="C18" s="34">
        <f>Ana!E18</f>
        <v>6</v>
      </c>
      <c r="D18" s="38" t="str">
        <f>Ana!F18</f>
        <v>Creacion de escenas administrador
Primera prueba en android (apk)
Viendo la rotacion de la pantalla con la prueba y la posicion de las caras del modelo
Correccion en la rotacion de pantalla y correccion en los canvas
Lectura de un txt/JSON: instancia, ejemplo de lectura
Creacion de Dont Destroy</v>
      </c>
      <c r="E18" s="47">
        <f>Miguel!D18*24</f>
        <v>3.9999999999999991</v>
      </c>
      <c r="F18" s="51" t="str">
        <f>Miguel!E18</f>
        <v>modelado partes internas</v>
      </c>
      <c r="I18" s="50">
        <f t="shared" si="0"/>
        <v>2</v>
      </c>
    </row>
    <row r="19" spans="1:9" ht="62.4" x14ac:dyDescent="0.3">
      <c r="A19" s="224"/>
      <c r="B19" s="24">
        <v>44971</v>
      </c>
      <c r="C19" s="34">
        <f>Ana!E19</f>
        <v>2.5</v>
      </c>
      <c r="D19" s="38" t="str">
        <f>Ana!F19</f>
        <v>Rellenar el scroll de manera automatica (menu de busqueda)
Lectura de posicion, se instancia el player, se dirige al punto seleccionado</v>
      </c>
      <c r="E19" s="47">
        <f>Miguel!D19*24</f>
        <v>3.9999999999999991</v>
      </c>
      <c r="F19" s="51" t="str">
        <f>Miguel!E19</f>
        <v>texturizado y modelado</v>
      </c>
      <c r="I19" s="50">
        <f t="shared" si="0"/>
        <v>2</v>
      </c>
    </row>
    <row r="20" spans="1:9" ht="93.6" x14ac:dyDescent="0.3">
      <c r="A20" s="224"/>
      <c r="B20" s="24">
        <v>44972</v>
      </c>
      <c r="C20" s="34">
        <f>Ana!E20</f>
        <v>7</v>
      </c>
      <c r="D20" s="38" t="str">
        <f>Ana!F20</f>
        <v>Programacion del apartado 2D
Movimiento de camara (zoom) y desplazamiento
Calculo de coordenadas, que las coordenadas de longitud y magnitud se puedan ubicas en el espacio de 2D.</v>
      </c>
      <c r="E20" s="47">
        <f>Miguel!D20*24</f>
        <v>1.9999999999999982</v>
      </c>
      <c r="F20" s="51" t="str">
        <f>Miguel!E20</f>
        <v>texturizado y modelado</v>
      </c>
      <c r="I20" s="50">
        <f t="shared" si="0"/>
        <v>2</v>
      </c>
    </row>
    <row r="21" spans="1:9" ht="124.8" x14ac:dyDescent="0.3">
      <c r="A21" s="224"/>
      <c r="B21" s="24">
        <v>44973</v>
      </c>
      <c r="C21" s="34">
        <f>Ana!E21</f>
        <v>3</v>
      </c>
      <c r="D21" s="38" t="str">
        <f>Ana!F21</f>
        <v>Que las coordenadas hagan bien la convercion
Convercion inversa de coordenadas X,Y y conseguir coordenadas de longitud y latitud
Prueba de NavMesh en 2D 
Mover de manera manual el punto de inicio</v>
      </c>
      <c r="E21" s="47">
        <f>Miguel!D21*24</f>
        <v>11.999999999999998</v>
      </c>
      <c r="F21" s="51" t="str">
        <f>Miguel!E21</f>
        <v>texturizado y modelado</v>
      </c>
      <c r="I21" s="50">
        <f t="shared" si="0"/>
        <v>2</v>
      </c>
    </row>
    <row r="22" spans="1:9" ht="93.6" x14ac:dyDescent="0.3">
      <c r="A22" s="224"/>
      <c r="B22" s="24">
        <v>44974</v>
      </c>
      <c r="C22" s="34">
        <f>Ana!E22</f>
        <v>3</v>
      </c>
      <c r="D22" s="38" t="str">
        <f>Ana!F22</f>
        <v>Prueba de exportacion de edificios y probando el NavMesh en los modelos
Vizualizar que haga bien los recorridos en los modelos
Probando la obtencion de longitud y magnitud en tiempo real</v>
      </c>
      <c r="E22" s="47">
        <f>Miguel!D22*24</f>
        <v>3.9999999999999991</v>
      </c>
      <c r="F22" s="51" t="str">
        <f>Miguel!E22</f>
        <v>texturizado y modelado</v>
      </c>
      <c r="I22" s="50">
        <f t="shared" si="0"/>
        <v>2</v>
      </c>
    </row>
    <row r="23" spans="1:9" x14ac:dyDescent="0.3">
      <c r="A23" s="224"/>
      <c r="B23" s="20">
        <v>44975</v>
      </c>
      <c r="C23" s="35">
        <f>Ana!E23</f>
        <v>0</v>
      </c>
      <c r="D23" s="53">
        <f>Ana!F23</f>
        <v>0</v>
      </c>
      <c r="E23" s="48">
        <f>Miguel!D23*24</f>
        <v>4.0000000000000018</v>
      </c>
      <c r="F23" s="54" t="str">
        <f>Miguel!E23</f>
        <v>texturizado y modelado</v>
      </c>
      <c r="I23" s="50">
        <f t="shared" si="0"/>
        <v>1</v>
      </c>
    </row>
    <row r="24" spans="1:9" ht="31.2" x14ac:dyDescent="0.3">
      <c r="A24" s="224"/>
      <c r="B24" s="20">
        <v>44976</v>
      </c>
      <c r="C24" s="35">
        <f>Ana!E24</f>
        <v>3</v>
      </c>
      <c r="D24" s="53" t="str">
        <f>Ana!F24</f>
        <v>Acomodando los datos de los puntos en Excel</v>
      </c>
      <c r="E24" s="48">
        <f>Miguel!D24*24</f>
        <v>0</v>
      </c>
      <c r="F24" s="54">
        <f>Miguel!E24</f>
        <v>0</v>
      </c>
      <c r="I24" s="50">
        <f t="shared" si="0"/>
        <v>1</v>
      </c>
    </row>
    <row r="25" spans="1:9" ht="93.6" x14ac:dyDescent="0.3">
      <c r="A25" s="224">
        <v>4</v>
      </c>
      <c r="B25" s="24">
        <v>44977</v>
      </c>
      <c r="C25" s="34">
        <f>Ana!E25</f>
        <v>4.5</v>
      </c>
      <c r="D25" s="38" t="str">
        <f>Ana!F25</f>
        <v>Capturando informacion
Terminar de acomodar los datos en el Excel
Realizando el trazo de la ruta
GPS en tiempo real, en otro archivo de prueba</v>
      </c>
      <c r="E25" s="47">
        <f>Miguel!D25*24</f>
        <v>3.9999999999999991</v>
      </c>
      <c r="F25" s="51" t="str">
        <f>Miguel!E25</f>
        <v>texturizado y modelado</v>
      </c>
      <c r="I25" s="50">
        <f t="shared" si="0"/>
        <v>2</v>
      </c>
    </row>
    <row r="26" spans="1:9" ht="78" x14ac:dyDescent="0.3">
      <c r="A26" s="224"/>
      <c r="B26" s="24">
        <v>44978</v>
      </c>
      <c r="C26" s="34">
        <f>Ana!E26</f>
        <v>4.5</v>
      </c>
      <c r="D26" s="38" t="str">
        <f>Ana!F26</f>
        <v>Mejorando los scripts
Correcciones de script de botones y cambio de las escenas
Exportando los modelos
Documentando codigo</v>
      </c>
      <c r="E26" s="47">
        <f>Miguel!D26*24</f>
        <v>3.9999999999999991</v>
      </c>
      <c r="F26" s="51" t="str">
        <f>Miguel!E26</f>
        <v>texturizado y modelado</v>
      </c>
      <c r="I26" s="50">
        <f t="shared" si="0"/>
        <v>2</v>
      </c>
    </row>
    <row r="27" spans="1:9" ht="93.6" x14ac:dyDescent="0.3">
      <c r="A27" s="224"/>
      <c r="B27" s="24">
        <v>44979</v>
      </c>
      <c r="C27" s="34">
        <f>Ana!E27</f>
        <v>6.5</v>
      </c>
      <c r="D27" s="38" t="str">
        <f>Ana!F27</f>
        <v>Modificando el NavMesh
Movimeitno con el mouse al momento del recorrido
Colocando los puntos del edificios de gobierno
Correccion en scripts</v>
      </c>
      <c r="E27" s="47">
        <f>Miguel!D27*24</f>
        <v>4.0000000000000071</v>
      </c>
      <c r="F27" s="51" t="str">
        <f>Miguel!E27</f>
        <v>texturizado y modelado</v>
      </c>
      <c r="I27" s="50">
        <f t="shared" si="0"/>
        <v>2</v>
      </c>
    </row>
    <row r="28" spans="1:9" ht="78" x14ac:dyDescent="0.3">
      <c r="A28" s="224"/>
      <c r="B28" s="24">
        <v>44980</v>
      </c>
      <c r="C28" s="34">
        <f>Ana!E28</f>
        <v>5</v>
      </c>
      <c r="D28" s="38" t="str">
        <f>Ana!F28</f>
        <v xml:space="preserve">Correccion de los scripts de busqueda
Sacando los datos de los puntos destino
Correccion de scripts
Corrigiendo los scripts de lectura JSON
</v>
      </c>
      <c r="E28" s="47">
        <f>Miguel!D28*24</f>
        <v>4.0000000000000071</v>
      </c>
      <c r="F28" s="51" t="str">
        <f>Miguel!E28</f>
        <v>texturizado y modelado</v>
      </c>
      <c r="I28" s="50">
        <f t="shared" si="0"/>
        <v>2</v>
      </c>
    </row>
    <row r="29" spans="1:9" ht="109.2" x14ac:dyDescent="0.3">
      <c r="A29" s="224"/>
      <c r="B29" s="24">
        <v>44981</v>
      </c>
      <c r="C29" s="34">
        <f>Ana!E29</f>
        <v>4</v>
      </c>
      <c r="D29" s="38" t="str">
        <f>Ana!F29</f>
        <v>Correccion del NavMesh
Probando el cambio de escenas que se lean los datos y se guarde la informacion de punto destino
Checando pesados para ver que el modelo estuviera bien
Sacando la posicion de mas puntos</v>
      </c>
      <c r="E29" s="47">
        <f>Miguel!D29*24</f>
        <v>4.0000000000000071</v>
      </c>
      <c r="F29" s="51" t="str">
        <f>Miguel!E29</f>
        <v>texturizado e invextigacion de BD</v>
      </c>
      <c r="I29" s="50">
        <f t="shared" si="0"/>
        <v>2</v>
      </c>
    </row>
    <row r="30" spans="1:9" x14ac:dyDescent="0.3">
      <c r="A30" s="224"/>
      <c r="B30" s="20">
        <v>44982</v>
      </c>
      <c r="C30" s="35">
        <f>Ana!E30</f>
        <v>0</v>
      </c>
      <c r="D30" s="53">
        <f>Ana!F30</f>
        <v>0</v>
      </c>
      <c r="E30" s="48">
        <f>Miguel!D30*24</f>
        <v>0</v>
      </c>
      <c r="F30" s="54">
        <f>Miguel!E30</f>
        <v>0</v>
      </c>
      <c r="I30" s="50">
        <f t="shared" si="0"/>
        <v>0</v>
      </c>
    </row>
    <row r="31" spans="1:9" x14ac:dyDescent="0.3">
      <c r="A31" s="224"/>
      <c r="B31" s="20">
        <v>44983</v>
      </c>
      <c r="C31" s="35">
        <f>Ana!E31</f>
        <v>0</v>
      </c>
      <c r="D31" s="53">
        <f>Ana!F31</f>
        <v>0</v>
      </c>
      <c r="E31" s="48">
        <f>Miguel!D31*24</f>
        <v>0</v>
      </c>
      <c r="F31" s="54">
        <f>Miguel!E31</f>
        <v>0</v>
      </c>
      <c r="I31" s="50">
        <f t="shared" si="0"/>
        <v>0</v>
      </c>
    </row>
    <row r="32" spans="1:9" ht="124.8" x14ac:dyDescent="0.3">
      <c r="A32" s="224">
        <v>5</v>
      </c>
      <c r="B32" s="24">
        <v>44984</v>
      </c>
      <c r="C32" s="34">
        <f>Ana!E32</f>
        <v>5.5</v>
      </c>
      <c r="D32" s="38" t="str">
        <f>Ana!F32</f>
        <v>Terminar de poner todos los puntos
Mejorar el pase de datos entre escenas
Terminar la comunicacion entre las escenas Mapa3D - MenuBusqueda - MenuInicio
Instanciando un Agente Nav Mesh
Limpiando y quitando codigo y elementos de escena</v>
      </c>
      <c r="E32" s="47">
        <f>Miguel!D32*24</f>
        <v>3</v>
      </c>
      <c r="F32" s="51" t="str">
        <f>Miguel!E32</f>
        <v>primeor pasos en la BD</v>
      </c>
      <c r="I32" s="50">
        <f t="shared" si="0"/>
        <v>2</v>
      </c>
    </row>
    <row r="33" spans="1:9" ht="62.4" x14ac:dyDescent="0.3">
      <c r="A33" s="224"/>
      <c r="B33" s="24">
        <v>44985</v>
      </c>
      <c r="C33" s="34">
        <f>Ana!E33</f>
        <v>5</v>
      </c>
      <c r="D33" s="38" t="str">
        <f>Ana!F33</f>
        <v>Haciendo el pase de informacion del mapa2d a las demas escenas
Correccion del player en 2D para que no se oculte entre el modelo</v>
      </c>
      <c r="E33" s="47">
        <f>Miguel!D33*24</f>
        <v>5</v>
      </c>
      <c r="F33" s="68" t="str">
        <f>Miguel!E33</f>
        <v>creacion de la base de datos en firebase</v>
      </c>
      <c r="I33" s="50">
        <f t="shared" si="0"/>
        <v>2</v>
      </c>
    </row>
    <row r="34" spans="1:9" ht="78" x14ac:dyDescent="0.3">
      <c r="A34" s="224"/>
      <c r="B34" s="24">
        <v>44986</v>
      </c>
      <c r="C34" s="34">
        <f>Ana!E34</f>
        <v>2.5</v>
      </c>
      <c r="D34" s="38" t="str">
        <f>Ana!F34</f>
        <v>Programando el funcionamiento del mapa2D
Correccion en la posicion de los edificio del modelo en Blender
Corrigiendo programacion</v>
      </c>
      <c r="E34" s="47">
        <f>Miguel!D34*24</f>
        <v>5</v>
      </c>
      <c r="F34" s="51" t="str">
        <f>Miguel!E34</f>
        <v>autentificacionm y paqueterias, texturisado</v>
      </c>
      <c r="I34" s="50">
        <f t="shared" si="0"/>
        <v>2</v>
      </c>
    </row>
    <row r="35" spans="1:9" ht="62.4" x14ac:dyDescent="0.3">
      <c r="A35" s="224"/>
      <c r="B35" s="24">
        <v>44987</v>
      </c>
      <c r="C35" s="34">
        <f>Ana!E35</f>
        <v>2.5</v>
      </c>
      <c r="D35" s="38" t="str">
        <f>Ana!F35</f>
        <v>Cambios en Mapa3D
Correcciones en el NavMesh
Vinculando la posicion de inicio entre los mapas y la del punto destino</v>
      </c>
      <c r="E35" s="47">
        <f>Miguel!D35*24</f>
        <v>5</v>
      </c>
      <c r="F35" s="51" t="str">
        <f>Miguel!E35</f>
        <v>arreglo de texturas y modelos</v>
      </c>
      <c r="I35" s="50">
        <f t="shared" si="0"/>
        <v>2</v>
      </c>
    </row>
    <row r="36" spans="1:9" ht="93.6" x14ac:dyDescent="0.3">
      <c r="A36" s="224"/>
      <c r="B36" s="24">
        <v>44988</v>
      </c>
      <c r="C36" s="34">
        <f>Ana!E36</f>
        <v>2</v>
      </c>
      <c r="D36" s="38" t="str">
        <f>Ana!F36</f>
        <v>Arreglando el codigo de linea de seguimiento
Haciendo la conexion entre mapa2d y menuInicio
Corrigiendo el guardado del NavMesh en el Mapa3D</v>
      </c>
      <c r="E36" s="47">
        <f>Miguel!D36*24</f>
        <v>5</v>
      </c>
      <c r="F36" s="51" t="str">
        <f>Miguel!E36</f>
        <v>texturizado y modelado</v>
      </c>
      <c r="I36" s="50">
        <f t="shared" si="0"/>
        <v>2</v>
      </c>
    </row>
    <row r="37" spans="1:9" x14ac:dyDescent="0.3">
      <c r="A37" s="224"/>
      <c r="B37" s="20">
        <v>44989</v>
      </c>
      <c r="C37" s="35">
        <f>Ana!E37</f>
        <v>0</v>
      </c>
      <c r="D37" s="53">
        <f>Ana!F37</f>
        <v>0</v>
      </c>
      <c r="E37" s="48">
        <f>Miguel!D37*24</f>
        <v>0</v>
      </c>
      <c r="F37" s="54">
        <f>Miguel!E37</f>
        <v>0</v>
      </c>
      <c r="I37" s="50">
        <f t="shared" si="0"/>
        <v>0</v>
      </c>
    </row>
    <row r="38" spans="1:9" x14ac:dyDescent="0.3">
      <c r="A38" s="224"/>
      <c r="B38" s="20">
        <v>44990</v>
      </c>
      <c r="C38" s="35">
        <f>Ana!E38</f>
        <v>0</v>
      </c>
      <c r="D38" s="53">
        <f>Ana!F38</f>
        <v>0</v>
      </c>
      <c r="E38" s="48">
        <f>Miguel!D38*24</f>
        <v>0</v>
      </c>
      <c r="F38" s="54">
        <f>Miguel!E38</f>
        <v>0</v>
      </c>
      <c r="I38" s="50">
        <f t="shared" si="0"/>
        <v>0</v>
      </c>
    </row>
    <row r="39" spans="1:9" ht="78" x14ac:dyDescent="0.3">
      <c r="A39" s="224">
        <v>6</v>
      </c>
      <c r="B39" s="24">
        <v>44991</v>
      </c>
      <c r="C39" s="34">
        <f>Ana!E39</f>
        <v>5.5</v>
      </c>
      <c r="D39" s="38" t="str">
        <f>Ana!F39</f>
        <v>Funcionamiento del punto inicial
Arreglo en el movimiento de camara
Limpieza de elementos en el mapa2D
Tamaño de la linea del camino
Fijar la rotacion de las escenas</v>
      </c>
      <c r="E39" s="47">
        <f>Miguel!D39*24</f>
        <v>5</v>
      </c>
      <c r="F39" s="51" t="str">
        <f>Miguel!E39</f>
        <v>correcion dle modelo</v>
      </c>
      <c r="I39" s="50">
        <f t="shared" si="0"/>
        <v>2</v>
      </c>
    </row>
    <row r="40" spans="1:9" ht="46.8" x14ac:dyDescent="0.3">
      <c r="A40" s="224"/>
      <c r="B40" s="24">
        <v>44992</v>
      </c>
      <c r="C40" s="34">
        <f>Ana!E40</f>
        <v>3</v>
      </c>
      <c r="D40" s="38" t="str">
        <f>Ana!F40</f>
        <v>Correccion de los puntos, ante las modificaciones de la posicion de los modelos</v>
      </c>
      <c r="E40" s="47">
        <f>Miguel!D40*24</f>
        <v>5</v>
      </c>
      <c r="F40" s="51" t="str">
        <f>Miguel!E40</f>
        <v>correcion del modelo</v>
      </c>
      <c r="I40" s="50">
        <f t="shared" si="0"/>
        <v>2</v>
      </c>
    </row>
    <row r="41" spans="1:9" ht="46.8" x14ac:dyDescent="0.3">
      <c r="A41" s="224"/>
      <c r="B41" s="24">
        <v>44993</v>
      </c>
      <c r="C41" s="34">
        <f>Ana!E41</f>
        <v>3</v>
      </c>
      <c r="D41" s="38" t="str">
        <f>Ana!F41</f>
        <v>Correccion de los puntos, ante las modificaciones de la posicion de los modelos</v>
      </c>
      <c r="E41" s="47">
        <f>Miguel!D41*24</f>
        <v>3</v>
      </c>
      <c r="F41" s="51" t="str">
        <f>Miguel!E41</f>
        <v xml:space="preserve">implementacion de authentific </v>
      </c>
      <c r="I41" s="50">
        <f t="shared" si="0"/>
        <v>2</v>
      </c>
    </row>
    <row r="42" spans="1:9" ht="62.4" x14ac:dyDescent="0.3">
      <c r="A42" s="224"/>
      <c r="B42" s="24">
        <v>44994</v>
      </c>
      <c r="C42" s="34">
        <f>Ana!E42</f>
        <v>3.5</v>
      </c>
      <c r="D42" s="38" t="str">
        <f>Ana!F42</f>
        <v>Correccion del movimiento de camara de la simulacion
Probando codigo funcional para el movimiento de camara</v>
      </c>
      <c r="E42" s="47">
        <f>Miguel!D42*24</f>
        <v>5</v>
      </c>
      <c r="F42" s="51" t="str">
        <f>Miguel!E42</f>
        <v>investigacion de las paqueterias de firebase</v>
      </c>
      <c r="I42" s="50">
        <f t="shared" si="0"/>
        <v>2</v>
      </c>
    </row>
    <row r="43" spans="1:9" ht="78" x14ac:dyDescent="0.3">
      <c r="A43" s="224"/>
      <c r="B43" s="24">
        <v>44995</v>
      </c>
      <c r="C43" s="34">
        <f>Ana!E43</f>
        <v>2.5</v>
      </c>
      <c r="D43" s="38" t="str">
        <f>Ana!F43</f>
        <v>Ver como es el calculo de la distancia
Correccion del movimiento de camara de la simulacion
Ultimos puntos actualizados
Problemas con la rotacion</v>
      </c>
      <c r="E43" s="47">
        <f>Miguel!D43*24</f>
        <v>2.9999999999999987</v>
      </c>
      <c r="F43" s="51" t="str">
        <f>Miguel!E43</f>
        <v>importacion y acomodo de las paqueterias</v>
      </c>
      <c r="I43" s="50">
        <f t="shared" si="0"/>
        <v>2</v>
      </c>
    </row>
    <row r="44" spans="1:9" x14ac:dyDescent="0.3">
      <c r="A44" s="224"/>
      <c r="B44" s="20">
        <v>44996</v>
      </c>
      <c r="C44" s="35">
        <f>Ana!E44</f>
        <v>0</v>
      </c>
      <c r="D44" s="53">
        <f>Ana!F44</f>
        <v>0</v>
      </c>
      <c r="E44" s="48">
        <f>Miguel!D44*24</f>
        <v>0</v>
      </c>
      <c r="F44" s="54">
        <f>Miguel!E44</f>
        <v>0</v>
      </c>
      <c r="I44" s="50">
        <f t="shared" si="0"/>
        <v>0</v>
      </c>
    </row>
    <row r="45" spans="1:9" x14ac:dyDescent="0.3">
      <c r="A45" s="224"/>
      <c r="B45" s="20">
        <v>44997</v>
      </c>
      <c r="C45" s="35">
        <f>Ana!E45</f>
        <v>2</v>
      </c>
      <c r="D45" s="53" t="str">
        <f>Ana!F45</f>
        <v>Correcciones en los calculos del GPS</v>
      </c>
      <c r="E45" s="48">
        <f>Miguel!D45*24</f>
        <v>0</v>
      </c>
      <c r="F45" s="54">
        <f>Miguel!E45</f>
        <v>0</v>
      </c>
      <c r="I45" s="50">
        <f t="shared" si="0"/>
        <v>1</v>
      </c>
    </row>
    <row r="46" spans="1:9" ht="93.6" x14ac:dyDescent="0.3">
      <c r="A46" s="224">
        <v>7</v>
      </c>
      <c r="B46" s="24">
        <v>44998</v>
      </c>
      <c r="C46" s="34">
        <f>Ana!E46</f>
        <v>2</v>
      </c>
      <c r="D46" s="38" t="str">
        <f>Ana!F46</f>
        <v>Correcciones en los calculos de la conversion de coordenadas de Unity a coordenadas de longitud y latitud, y viceversa
Corrigiendo lo de la rotacion en la simulacion</v>
      </c>
      <c r="E46" s="47">
        <f>Miguel!D46*24</f>
        <v>3.9999999999999991</v>
      </c>
      <c r="F46" s="51" t="str">
        <f>Miguel!E46</f>
        <v>login de manera anoima</v>
      </c>
      <c r="I46" s="50">
        <f t="shared" si="0"/>
        <v>2</v>
      </c>
    </row>
    <row r="47" spans="1:9" ht="62.4" x14ac:dyDescent="0.3">
      <c r="A47" s="224"/>
      <c r="B47" s="24">
        <v>44999</v>
      </c>
      <c r="C47" s="34">
        <f>Ana!E47</f>
        <v>3.5</v>
      </c>
      <c r="D47" s="38" t="str">
        <f>Ana!F47</f>
        <v>Correccion de movimiento de camara
Ajustando la velocidad en el apartado de Mapa
Creando el NavMesh para el GPS</v>
      </c>
      <c r="E47" s="47">
        <f>Miguel!D47*24</f>
        <v>3</v>
      </c>
      <c r="F47" s="51" t="str">
        <f>Miguel!E47</f>
        <v>login de manera anoima</v>
      </c>
      <c r="I47" s="50">
        <f t="shared" si="0"/>
        <v>2</v>
      </c>
    </row>
    <row r="48" spans="1:9" ht="62.4" x14ac:dyDescent="0.3">
      <c r="A48" s="224"/>
      <c r="B48" s="24">
        <v>45000</v>
      </c>
      <c r="C48" s="34">
        <f>Ana!E48</f>
        <v>3.5</v>
      </c>
      <c r="D48" s="38" t="str">
        <f>Ana!F48</f>
        <v>Implementando de tiempo real el GPS
Correccion de la conversion de latitud/longitud de los puntos
Delimitando las coordenadas del GPS</v>
      </c>
      <c r="E48" s="47">
        <f>Miguel!D48*24</f>
        <v>3</v>
      </c>
      <c r="F48" s="51" t="str">
        <f>Miguel!E48</f>
        <v>login por cuenta</v>
      </c>
      <c r="I48" s="50">
        <f t="shared" si="0"/>
        <v>2</v>
      </c>
    </row>
    <row r="49" spans="1:9" ht="93.6" x14ac:dyDescent="0.3">
      <c r="A49" s="224"/>
      <c r="B49" s="24">
        <v>45001</v>
      </c>
      <c r="C49" s="34">
        <f>Ana!E49</f>
        <v>4.5</v>
      </c>
      <c r="D49" s="38" t="str">
        <f>Ana!F49</f>
        <v>Realizando las minutas
Trazo de linea del GPS al punto destino
Correccion del NavMesh del punto del GPS
Viendo el movimiento del GPS al caminar por la escuela</v>
      </c>
      <c r="E49" s="47">
        <f>Miguel!D49*24</f>
        <v>3</v>
      </c>
      <c r="F49" s="51" t="str">
        <f>Miguel!E49</f>
        <v>login por cuenta</v>
      </c>
      <c r="I49" s="50">
        <f t="shared" si="0"/>
        <v>2</v>
      </c>
    </row>
    <row r="50" spans="1:9" ht="78" x14ac:dyDescent="0.3">
      <c r="A50" s="224"/>
      <c r="B50" s="24">
        <v>45002</v>
      </c>
      <c r="C50" s="34">
        <f>Ana!E50</f>
        <v>5.5</v>
      </c>
      <c r="D50" s="38" t="str">
        <f>Ana!F50</f>
        <v>Correccion de los avisos del canvas
Creacion de otro escenario para el NavMesh del GPS
Pruebas del NavMesh en el modelo, realizando correcciones</v>
      </c>
      <c r="E50" s="47">
        <f>Miguel!D50*24</f>
        <v>3</v>
      </c>
      <c r="F50" s="51" t="str">
        <f>Miguel!E50</f>
        <v>login por cuneta</v>
      </c>
      <c r="I50" s="50">
        <f t="shared" si="0"/>
        <v>2</v>
      </c>
    </row>
    <row r="51" spans="1:9" x14ac:dyDescent="0.3">
      <c r="A51" s="224"/>
      <c r="B51" s="20">
        <v>45003</v>
      </c>
      <c r="C51" s="35">
        <f>Ana!E51</f>
        <v>0</v>
      </c>
      <c r="D51" s="53">
        <f>Ana!F51</f>
        <v>0</v>
      </c>
      <c r="E51" s="48">
        <f>Miguel!D51*24</f>
        <v>0</v>
      </c>
      <c r="F51" s="54">
        <f>Miguel!E51</f>
        <v>0</v>
      </c>
      <c r="I51" s="50">
        <f t="shared" si="0"/>
        <v>0</v>
      </c>
    </row>
    <row r="52" spans="1:9" x14ac:dyDescent="0.3">
      <c r="A52" s="224"/>
      <c r="B52" s="20">
        <v>45004</v>
      </c>
      <c r="C52" s="35">
        <f>Ana!E52</f>
        <v>0</v>
      </c>
      <c r="D52" s="53">
        <f>Ana!F52</f>
        <v>0</v>
      </c>
      <c r="E52" s="48">
        <f>Miguel!D52*24</f>
        <v>0</v>
      </c>
      <c r="F52" s="54">
        <f>Miguel!E52</f>
        <v>0</v>
      </c>
      <c r="I52" s="50">
        <f t="shared" si="0"/>
        <v>0</v>
      </c>
    </row>
    <row r="53" spans="1:9" ht="109.2" x14ac:dyDescent="0.3">
      <c r="A53" s="224">
        <v>8</v>
      </c>
      <c r="B53" s="21">
        <v>45005</v>
      </c>
      <c r="C53" s="36">
        <f>Ana!E53</f>
        <v>6</v>
      </c>
      <c r="D53" s="55" t="str">
        <f>Ana!F53</f>
        <v>Correccion entre el puntoInicial programado y el punto del GPS
Diferente colores del punto
Paso entre el 2D y 3D
Raycast para detectar la ubicacion del punto del GPS y pasarlo a la escena de simulacion</v>
      </c>
      <c r="E53" s="49">
        <f>Miguel!D53*24</f>
        <v>0</v>
      </c>
      <c r="F53" s="56">
        <f>Miguel!E53</f>
        <v>0</v>
      </c>
      <c r="I53" s="50">
        <f t="shared" si="0"/>
        <v>1</v>
      </c>
    </row>
    <row r="54" spans="1:9" ht="78" x14ac:dyDescent="0.3">
      <c r="A54" s="224"/>
      <c r="B54" s="24">
        <v>45006</v>
      </c>
      <c r="C54" s="34">
        <f>Ana!E54</f>
        <v>5</v>
      </c>
      <c r="D54" s="38" t="str">
        <f>Ana!F54</f>
        <v>Modificando el codigo del GPS para que actualize en tiempo real los datos de longitud y latitud
Trazando el camino de la ubicacion indicada por el GPS al punto destino</v>
      </c>
      <c r="E54" s="47">
        <f>Miguel!D54*24</f>
        <v>2.6666666666666679</v>
      </c>
      <c r="F54" s="51" t="str">
        <f>Miguel!E54</f>
        <v>modificacion del apartado administrador</v>
      </c>
      <c r="I54" s="50">
        <f t="shared" si="0"/>
        <v>2</v>
      </c>
    </row>
    <row r="55" spans="1:9" ht="109.2" x14ac:dyDescent="0.3">
      <c r="A55" s="224"/>
      <c r="B55" s="24">
        <v>45007</v>
      </c>
      <c r="C55" s="34">
        <f>Ana!E55</f>
        <v>6</v>
      </c>
      <c r="D55" s="38" t="str">
        <f>Ana!F55</f>
        <v>Ajustar el punto del GPS con el NavMesh para que respete las rutas establecidas
Iniciando con el calculo de tiempo
Ajustando el NavMesh para pasar la altura a la simulacion y poder hacer el cambio del GPS a la simulacion</v>
      </c>
      <c r="E55" s="47">
        <f>Miguel!D55*24</f>
        <v>3.4166666666666679</v>
      </c>
      <c r="F55" s="51" t="str">
        <f>Miguel!E55</f>
        <v>areglo del buldeo para web</v>
      </c>
      <c r="I55" s="50">
        <f t="shared" si="0"/>
        <v>2</v>
      </c>
    </row>
    <row r="56" spans="1:9" ht="140.4" x14ac:dyDescent="0.3">
      <c r="A56" s="224"/>
      <c r="B56" s="24">
        <v>45008</v>
      </c>
      <c r="C56" s="34">
        <f>Ana!E56</f>
        <v>4</v>
      </c>
      <c r="D56" s="38" t="str">
        <f>Ana!F56</f>
        <v>Calculando el tiempo del punto inicial o del GPS en la simulacion
Colocando los textos de los edificios en la simulacion
Textura para la linea del caino
Ajustando la velocidad del NavMesh acorde al slider
Programando los textos para que esten volteando hacia la camara</v>
      </c>
      <c r="E56" s="47">
        <f>Miguel!D56*24</f>
        <v>4.1666666666666679</v>
      </c>
      <c r="F56" s="51" t="str">
        <f>Miguel!E56</f>
        <v>acomodo del menu de edicion</v>
      </c>
      <c r="I56" s="50">
        <f t="shared" si="0"/>
        <v>2</v>
      </c>
    </row>
    <row r="57" spans="1:9" ht="31.2" x14ac:dyDescent="0.3">
      <c r="A57" s="224"/>
      <c r="B57" s="24">
        <v>45009</v>
      </c>
      <c r="C57" s="34">
        <f>Ana!E57</f>
        <v>1.5</v>
      </c>
      <c r="D57" s="38" t="str">
        <f>Ana!F57</f>
        <v>Apartado administradod Mapa2d
Arreglando los canvas</v>
      </c>
      <c r="E57" s="47">
        <f>Miguel!D57*24</f>
        <v>2.9999999999999987</v>
      </c>
      <c r="F57" s="51" t="str">
        <f>Miguel!E57</f>
        <v>acomodo del modelo</v>
      </c>
      <c r="I57" s="50">
        <f t="shared" si="0"/>
        <v>2</v>
      </c>
    </row>
    <row r="58" spans="1:9" x14ac:dyDescent="0.3">
      <c r="A58" s="224"/>
      <c r="B58" s="20">
        <v>45010</v>
      </c>
      <c r="C58" s="35">
        <f>Ana!E58</f>
        <v>0</v>
      </c>
      <c r="D58" s="53">
        <f>Ana!F58</f>
        <v>0</v>
      </c>
      <c r="E58" s="48">
        <f>Miguel!D58*24</f>
        <v>0</v>
      </c>
      <c r="F58" s="54">
        <f>Miguel!E58</f>
        <v>0</v>
      </c>
      <c r="I58" s="50">
        <f t="shared" si="0"/>
        <v>0</v>
      </c>
    </row>
    <row r="59" spans="1:9" x14ac:dyDescent="0.3">
      <c r="A59" s="224"/>
      <c r="B59" s="20">
        <v>45011</v>
      </c>
      <c r="C59" s="35">
        <f>Ana!E59</f>
        <v>0</v>
      </c>
      <c r="D59" s="53">
        <f>Ana!F59</f>
        <v>0</v>
      </c>
      <c r="E59" s="48">
        <f>Miguel!D59*24</f>
        <v>0</v>
      </c>
      <c r="F59" s="54">
        <f>Miguel!E59</f>
        <v>0</v>
      </c>
      <c r="I59" s="50">
        <f t="shared" si="0"/>
        <v>0</v>
      </c>
    </row>
    <row r="60" spans="1:9" ht="62.4" x14ac:dyDescent="0.3">
      <c r="A60" s="224">
        <v>9</v>
      </c>
      <c r="B60" s="24">
        <v>45012</v>
      </c>
      <c r="C60" s="34">
        <f>Ana!E60</f>
        <v>5</v>
      </c>
      <c r="D60" s="38" t="str">
        <f>Ana!F60</f>
        <v>Diseño de los pisos para el apartado Administrador Mapa2D
Programacion de la interfaz del administrador</v>
      </c>
      <c r="E60" s="47">
        <f>Miguel!D60*24</f>
        <v>3.666666666666667</v>
      </c>
      <c r="F60" s="51" t="str">
        <f>Miguel!E60</f>
        <v>areglo de texturas en el modelo</v>
      </c>
      <c r="I60" s="50">
        <f t="shared" si="0"/>
        <v>2</v>
      </c>
    </row>
    <row r="61" spans="1:9" ht="31.2" x14ac:dyDescent="0.3">
      <c r="A61" s="224"/>
      <c r="B61" s="24">
        <v>45013</v>
      </c>
      <c r="C61" s="34">
        <f>Ana!E61</f>
        <v>4</v>
      </c>
      <c r="D61" s="38" t="str">
        <f>Ana!F61</f>
        <v>Diseño de pisos para el apartado administrador del Mapa 2D</v>
      </c>
      <c r="E61" s="47">
        <f>Miguel!D61*24</f>
        <v>5.0000000000000009</v>
      </c>
      <c r="F61" s="51" t="str">
        <f>Miguel!E61</f>
        <v>areglo de texturas en el modelo</v>
      </c>
      <c r="I61" s="50">
        <f t="shared" si="0"/>
        <v>2</v>
      </c>
    </row>
    <row r="62" spans="1:9" ht="31.2" x14ac:dyDescent="0.3">
      <c r="A62" s="224"/>
      <c r="B62" s="24">
        <v>45014</v>
      </c>
      <c r="C62" s="34">
        <f>Ana!E62</f>
        <v>4.5</v>
      </c>
      <c r="D62" s="38" t="str">
        <f>Ana!F62</f>
        <v>Correcciones en el codigo del administrador</v>
      </c>
      <c r="E62" s="47">
        <f>Miguel!D62*24</f>
        <v>1.3333333333333313</v>
      </c>
      <c r="F62" s="51" t="str">
        <f>Miguel!E62</f>
        <v>impolementacion de la base de datos con la edicion de datos</v>
      </c>
      <c r="I62" s="50">
        <f t="shared" si="0"/>
        <v>2</v>
      </c>
    </row>
    <row r="63" spans="1:9" ht="31.2" x14ac:dyDescent="0.3">
      <c r="A63" s="224"/>
      <c r="B63" s="24">
        <v>45015</v>
      </c>
      <c r="C63" s="34">
        <f>Ana!E63</f>
        <v>3</v>
      </c>
      <c r="D63" s="38" t="str">
        <f>Ana!F63</f>
        <v>Correcciones en las posiciones
Programacion de las posiciones</v>
      </c>
      <c r="E63" s="47">
        <f>Miguel!D63*24</f>
        <v>5</v>
      </c>
      <c r="F63" s="51" t="str">
        <f>Miguel!E63</f>
        <v>impolementacion de la base de datos con la edicion de datos</v>
      </c>
      <c r="I63" s="50">
        <f t="shared" si="0"/>
        <v>2</v>
      </c>
    </row>
    <row r="64" spans="1:9" ht="31.2" x14ac:dyDescent="0.3">
      <c r="A64" s="224"/>
      <c r="B64" s="24">
        <v>45016</v>
      </c>
      <c r="C64" s="34">
        <f>Ana!E64</f>
        <v>3</v>
      </c>
      <c r="D64" s="38" t="str">
        <f>Ana!F64</f>
        <v>Programacion de los permisos para el GPS</v>
      </c>
      <c r="E64" s="47">
        <f>Miguel!D64*24</f>
        <v>0</v>
      </c>
      <c r="F64" s="51">
        <f>Miguel!E64</f>
        <v>0</v>
      </c>
      <c r="I64" s="50">
        <f t="shared" si="0"/>
        <v>1</v>
      </c>
    </row>
    <row r="65" spans="1:9" x14ac:dyDescent="0.3">
      <c r="A65" s="224"/>
      <c r="B65" s="20">
        <v>45017</v>
      </c>
      <c r="C65" s="35">
        <f>Ana!E65</f>
        <v>0</v>
      </c>
      <c r="D65" s="53">
        <f>Ana!F65</f>
        <v>0</v>
      </c>
      <c r="E65" s="48">
        <f>Miguel!D65*24</f>
        <v>0</v>
      </c>
      <c r="F65" s="54">
        <f>Miguel!E65</f>
        <v>0</v>
      </c>
      <c r="I65" s="50">
        <f t="shared" si="0"/>
        <v>0</v>
      </c>
    </row>
    <row r="66" spans="1:9" x14ac:dyDescent="0.3">
      <c r="A66" s="224"/>
      <c r="B66" s="20">
        <v>45018</v>
      </c>
      <c r="C66" s="35">
        <f>Ana!E66</f>
        <v>0</v>
      </c>
      <c r="D66" s="53">
        <f>Ana!F66</f>
        <v>0</v>
      </c>
      <c r="E66" s="48">
        <f>Miguel!D66*24</f>
        <v>0</v>
      </c>
      <c r="F66" s="54">
        <f>Miguel!E66</f>
        <v>0</v>
      </c>
      <c r="I66" s="50">
        <f t="shared" si="0"/>
        <v>0</v>
      </c>
    </row>
    <row r="67" spans="1:9" ht="31.2" x14ac:dyDescent="0.3">
      <c r="A67" s="224">
        <v>10</v>
      </c>
      <c r="B67" s="24">
        <v>45019</v>
      </c>
      <c r="C67" s="34">
        <f>Ana!E67</f>
        <v>3</v>
      </c>
      <c r="D67" s="38" t="str">
        <f>Ana!F67</f>
        <v>Correcciones en el apartado administrador</v>
      </c>
      <c r="E67" s="47">
        <f>Miguel!D67*24</f>
        <v>3</v>
      </c>
      <c r="F67" s="51" t="str">
        <f>Miguel!E67</f>
        <v>correcion de la base de datos</v>
      </c>
      <c r="I67" s="50">
        <f t="shared" si="0"/>
        <v>2</v>
      </c>
    </row>
    <row r="68" spans="1:9" ht="31.2" x14ac:dyDescent="0.3">
      <c r="A68" s="224"/>
      <c r="B68" s="24">
        <v>45020</v>
      </c>
      <c r="C68" s="34">
        <f>Ana!E68</f>
        <v>3</v>
      </c>
      <c r="D68" s="38" t="str">
        <f>Ana!F68</f>
        <v>Activando los permisos para el uso del GPS</v>
      </c>
      <c r="E68" s="47">
        <f>Miguel!D68*24</f>
        <v>3.5000000000000009</v>
      </c>
      <c r="F68" s="51" t="str">
        <f>Miguel!E68</f>
        <v>extracion de datos</v>
      </c>
      <c r="I68" s="50">
        <f t="shared" si="0"/>
        <v>2</v>
      </c>
    </row>
    <row r="69" spans="1:9" x14ac:dyDescent="0.3">
      <c r="A69" s="224"/>
      <c r="B69" s="24">
        <v>45021</v>
      </c>
      <c r="C69" s="34">
        <f>Ana!E69</f>
        <v>0</v>
      </c>
      <c r="D69" s="38">
        <f>Ana!F69</f>
        <v>0</v>
      </c>
      <c r="E69" s="47">
        <f>Miguel!D69*24</f>
        <v>3.9999999999999991</v>
      </c>
      <c r="F69" s="51" t="str">
        <f>Miguel!E69</f>
        <v>modificacion de datos</v>
      </c>
      <c r="I69" s="50">
        <f t="shared" ref="I69:I127" si="1">COUNTIF(C69,"&lt;&gt;0")+COUNTIF(E69,"&lt;&gt;0")</f>
        <v>1</v>
      </c>
    </row>
    <row r="70" spans="1:9" x14ac:dyDescent="0.3">
      <c r="A70" s="224"/>
      <c r="B70" s="21">
        <v>45022</v>
      </c>
      <c r="C70" s="36">
        <f>Ana!E70</f>
        <v>0</v>
      </c>
      <c r="D70" s="55">
        <f>Ana!F70</f>
        <v>0</v>
      </c>
      <c r="E70" s="49">
        <f>Miguel!D70*24</f>
        <v>0</v>
      </c>
      <c r="F70" s="56">
        <f>Miguel!E70</f>
        <v>0</v>
      </c>
      <c r="I70" s="50">
        <f t="shared" si="1"/>
        <v>0</v>
      </c>
    </row>
    <row r="71" spans="1:9" x14ac:dyDescent="0.3">
      <c r="A71" s="224"/>
      <c r="B71" s="21">
        <v>45023</v>
      </c>
      <c r="C71" s="36">
        <f>Ana!E71</f>
        <v>0</v>
      </c>
      <c r="D71" s="55">
        <f>Ana!F71</f>
        <v>0</v>
      </c>
      <c r="E71" s="49">
        <f>Miguel!D71*24</f>
        <v>3</v>
      </c>
      <c r="F71" s="56" t="str">
        <f>Miguel!E71</f>
        <v>BD</v>
      </c>
      <c r="I71" s="50">
        <f t="shared" si="1"/>
        <v>1</v>
      </c>
    </row>
    <row r="72" spans="1:9" x14ac:dyDescent="0.3">
      <c r="A72" s="224"/>
      <c r="B72" s="20">
        <v>45024</v>
      </c>
      <c r="C72" s="35">
        <f>Ana!E72</f>
        <v>0</v>
      </c>
      <c r="D72" s="53">
        <f>Ana!F72</f>
        <v>0</v>
      </c>
      <c r="E72" s="48">
        <f>Miguel!D72*24</f>
        <v>0</v>
      </c>
      <c r="F72" s="54">
        <f>Miguel!E72</f>
        <v>0</v>
      </c>
      <c r="I72" s="50">
        <f t="shared" si="1"/>
        <v>0</v>
      </c>
    </row>
    <row r="73" spans="1:9" x14ac:dyDescent="0.3">
      <c r="A73" s="224"/>
      <c r="B73" s="20">
        <v>45025</v>
      </c>
      <c r="C73" s="35">
        <f>Ana!E73</f>
        <v>0</v>
      </c>
      <c r="D73" s="53">
        <f>Ana!F73</f>
        <v>0</v>
      </c>
      <c r="E73" s="48">
        <f>Miguel!D73*24</f>
        <v>0</v>
      </c>
      <c r="F73" s="54">
        <f>Miguel!E73</f>
        <v>0</v>
      </c>
      <c r="I73" s="50">
        <f t="shared" si="1"/>
        <v>0</v>
      </c>
    </row>
    <row r="74" spans="1:9" x14ac:dyDescent="0.3">
      <c r="A74" s="224">
        <v>11</v>
      </c>
      <c r="B74" s="21">
        <v>45026</v>
      </c>
      <c r="C74" s="36">
        <f>Ana!E74</f>
        <v>0</v>
      </c>
      <c r="D74" s="55">
        <f>Ana!F74</f>
        <v>0</v>
      </c>
      <c r="E74" s="49">
        <f>Miguel!D74*24</f>
        <v>3</v>
      </c>
      <c r="F74" s="56" t="str">
        <f>Miguel!E74</f>
        <v>BD</v>
      </c>
      <c r="I74" s="50">
        <f t="shared" si="1"/>
        <v>1</v>
      </c>
    </row>
    <row r="75" spans="1:9" x14ac:dyDescent="0.3">
      <c r="A75" s="224"/>
      <c r="B75" s="21">
        <v>45027</v>
      </c>
      <c r="C75" s="36">
        <f>Ana!E75</f>
        <v>0</v>
      </c>
      <c r="D75" s="55">
        <f>Ana!F75</f>
        <v>0</v>
      </c>
      <c r="E75" s="49">
        <f>Miguel!D75*24</f>
        <v>3</v>
      </c>
      <c r="F75" s="56" t="str">
        <f>Miguel!E75</f>
        <v>BD</v>
      </c>
      <c r="I75" s="50">
        <f t="shared" si="1"/>
        <v>1</v>
      </c>
    </row>
    <row r="76" spans="1:9" x14ac:dyDescent="0.3">
      <c r="A76" s="224"/>
      <c r="B76" s="21">
        <v>45028</v>
      </c>
      <c r="C76" s="36">
        <f>Ana!E76</f>
        <v>0</v>
      </c>
      <c r="D76" s="55">
        <f>Ana!F76</f>
        <v>0</v>
      </c>
      <c r="E76" s="49">
        <f>Miguel!D76*24</f>
        <v>3</v>
      </c>
      <c r="F76" s="56" t="str">
        <f>Miguel!E76</f>
        <v>BD</v>
      </c>
      <c r="I76" s="50">
        <f t="shared" si="1"/>
        <v>1</v>
      </c>
    </row>
    <row r="77" spans="1:9" x14ac:dyDescent="0.3">
      <c r="A77" s="224"/>
      <c r="B77" s="21">
        <v>45029</v>
      </c>
      <c r="C77" s="36">
        <f>Ana!E77</f>
        <v>0</v>
      </c>
      <c r="D77" s="55">
        <f>Ana!F77</f>
        <v>0</v>
      </c>
      <c r="E77" s="49">
        <f>Miguel!D77*24</f>
        <v>2.9999999999999987</v>
      </c>
      <c r="F77" s="56" t="str">
        <f>Miguel!E77</f>
        <v xml:space="preserve">correccion de texturas </v>
      </c>
      <c r="I77" s="50">
        <f t="shared" si="1"/>
        <v>1</v>
      </c>
    </row>
    <row r="78" spans="1:9" x14ac:dyDescent="0.3">
      <c r="A78" s="224"/>
      <c r="B78" s="21">
        <v>45030</v>
      </c>
      <c r="C78" s="36">
        <f>Ana!E78</f>
        <v>0</v>
      </c>
      <c r="D78" s="55">
        <f>Ana!F78</f>
        <v>0</v>
      </c>
      <c r="E78" s="49">
        <f>Miguel!D78*24</f>
        <v>4.9166666666666661</v>
      </c>
      <c r="F78" s="56" t="str">
        <f>Miguel!E78</f>
        <v xml:space="preserve">correccion de texturas </v>
      </c>
      <c r="I78" s="50">
        <f t="shared" si="1"/>
        <v>1</v>
      </c>
    </row>
    <row r="79" spans="1:9" x14ac:dyDescent="0.3">
      <c r="A79" s="224"/>
      <c r="B79" s="20">
        <v>45031</v>
      </c>
      <c r="C79" s="35">
        <f>Ana!E79</f>
        <v>0</v>
      </c>
      <c r="D79" s="53">
        <f>Ana!F79</f>
        <v>0</v>
      </c>
      <c r="E79" s="48">
        <f>Miguel!D79*24</f>
        <v>0</v>
      </c>
      <c r="F79" s="54">
        <f>Miguel!E79</f>
        <v>0</v>
      </c>
      <c r="I79" s="50">
        <f t="shared" si="1"/>
        <v>0</v>
      </c>
    </row>
    <row r="80" spans="1:9" x14ac:dyDescent="0.3">
      <c r="A80" s="224"/>
      <c r="B80" s="20">
        <v>45032</v>
      </c>
      <c r="C80" s="35">
        <f>Ana!E80</f>
        <v>0</v>
      </c>
      <c r="D80" s="53">
        <f>Ana!F80</f>
        <v>0</v>
      </c>
      <c r="E80" s="48">
        <f>Miguel!D80*24</f>
        <v>0</v>
      </c>
      <c r="F80" s="54">
        <f>Miguel!E80</f>
        <v>0</v>
      </c>
      <c r="I80" s="50">
        <f t="shared" si="1"/>
        <v>0</v>
      </c>
    </row>
    <row r="81" spans="1:9" ht="78" x14ac:dyDescent="0.3">
      <c r="A81" s="224">
        <v>12</v>
      </c>
      <c r="B81" s="24">
        <v>45033</v>
      </c>
      <c r="C81" s="34">
        <f>Ana!E81</f>
        <v>3.5</v>
      </c>
      <c r="D81" s="38" t="str">
        <f>Ana!F81</f>
        <v>Agregando nuevo canvas, de tiempo de espera para la conexion al GPS
Quitando el texto de inicio
Programando un reinicio por si el player se sale de su zona</v>
      </c>
      <c r="E81" s="47">
        <f>Miguel!D81*24</f>
        <v>0</v>
      </c>
      <c r="F81" s="51">
        <f>Miguel!E81</f>
        <v>0</v>
      </c>
      <c r="I81" s="50">
        <f t="shared" si="1"/>
        <v>1</v>
      </c>
    </row>
    <row r="82" spans="1:9" ht="93.6" x14ac:dyDescent="0.3">
      <c r="A82" s="224"/>
      <c r="B82" s="24">
        <v>45034</v>
      </c>
      <c r="C82" s="34">
        <f>Ana!E82</f>
        <v>4</v>
      </c>
      <c r="D82" s="38" t="str">
        <f>Ana!F82</f>
        <v>Correccion en los mensajes del GPS
Se quita la programacion del reinicio
Corrigiendo la camara para que regrese a su posicion original en la simulacion
Poniendo todos los elementos modelados en un archivo de blender</v>
      </c>
      <c r="E82" s="47">
        <f>Miguel!D82*24</f>
        <v>0</v>
      </c>
      <c r="F82" s="51">
        <f>Miguel!E82</f>
        <v>0</v>
      </c>
      <c r="I82" s="50">
        <f t="shared" si="1"/>
        <v>1</v>
      </c>
    </row>
    <row r="83" spans="1:9" ht="62.4" x14ac:dyDescent="0.3">
      <c r="A83" s="224"/>
      <c r="B83" s="24">
        <v>45035</v>
      </c>
      <c r="C83" s="34">
        <f>Ana!E83</f>
        <v>4</v>
      </c>
      <c r="D83" s="38" t="str">
        <f>Ana!F83</f>
        <v>Correccion de las luces en las escenas
Mejoras en el apartado del administrador
Bajando la sensibilidad del movimiento para la camara</v>
      </c>
      <c r="E83" s="47">
        <f>Miguel!D83*24</f>
        <v>0</v>
      </c>
      <c r="F83" s="51">
        <f>Miguel!E83</f>
        <v>0</v>
      </c>
      <c r="I83" s="50">
        <f t="shared" si="1"/>
        <v>1</v>
      </c>
    </row>
    <row r="84" spans="1:9" ht="62.4" x14ac:dyDescent="0.3">
      <c r="A84" s="224"/>
      <c r="B84" s="24">
        <v>45036</v>
      </c>
      <c r="C84" s="34">
        <f>Ana!E84</f>
        <v>4.5</v>
      </c>
      <c r="D84" s="38" t="str">
        <f>Ana!F84</f>
        <v>Creacion de los puntos (programacion)
Lectura de los puntos para pasar el ID que permita le edicion y eliminacion de los datos</v>
      </c>
      <c r="E84" s="47">
        <f>Miguel!D84*24</f>
        <v>0</v>
      </c>
      <c r="F84" s="51">
        <f>Miguel!E84</f>
        <v>0</v>
      </c>
      <c r="I84" s="50">
        <f t="shared" si="1"/>
        <v>1</v>
      </c>
    </row>
    <row r="85" spans="1:9" ht="78" x14ac:dyDescent="0.3">
      <c r="A85" s="224"/>
      <c r="B85" s="24">
        <v>45037</v>
      </c>
      <c r="C85" s="34">
        <f>Ana!E85</f>
        <v>5</v>
      </c>
      <c r="D85" s="38" t="str">
        <f>Ana!F85</f>
        <v>Creacion del JSON y lectura de la base de datos
Actualizacion del archivo cada que conecta a la base de datos
Termino del codigo del usuario</v>
      </c>
      <c r="E85" s="47">
        <f>Miguel!D85*24</f>
        <v>0</v>
      </c>
      <c r="F85" s="51">
        <f>Miguel!E85</f>
        <v>0</v>
      </c>
      <c r="I85" s="50">
        <f t="shared" si="1"/>
        <v>1</v>
      </c>
    </row>
    <row r="86" spans="1:9" x14ac:dyDescent="0.3">
      <c r="A86" s="224"/>
      <c r="B86" s="20">
        <v>45038</v>
      </c>
      <c r="C86" s="35">
        <f>Ana!E86</f>
        <v>0</v>
      </c>
      <c r="D86" s="53">
        <f>Ana!F86</f>
        <v>0</v>
      </c>
      <c r="E86" s="48">
        <f>Miguel!D86*24</f>
        <v>0</v>
      </c>
      <c r="F86" s="54">
        <f>Miguel!E86</f>
        <v>0</v>
      </c>
      <c r="I86" s="50">
        <f t="shared" si="1"/>
        <v>0</v>
      </c>
    </row>
    <row r="87" spans="1:9" x14ac:dyDescent="0.3">
      <c r="A87" s="224"/>
      <c r="B87" s="20">
        <v>45039</v>
      </c>
      <c r="C87" s="35">
        <f>Ana!E87</f>
        <v>0</v>
      </c>
      <c r="D87" s="53">
        <f>Ana!F87</f>
        <v>0</v>
      </c>
      <c r="E87" s="48">
        <f>Miguel!D87*24</f>
        <v>0</v>
      </c>
      <c r="F87" s="54">
        <f>Miguel!E87</f>
        <v>0</v>
      </c>
      <c r="I87" s="50">
        <f t="shared" si="1"/>
        <v>0</v>
      </c>
    </row>
    <row r="88" spans="1:9" ht="62.4" x14ac:dyDescent="0.3">
      <c r="A88" s="224">
        <v>13</v>
      </c>
      <c r="B88" s="24">
        <v>45040</v>
      </c>
      <c r="C88" s="34">
        <f>Ana!E88</f>
        <v>4</v>
      </c>
      <c r="D88" s="38" t="str">
        <f>Ana!F88</f>
        <v>Terminando la programacion basica para el administrador
Trabajando con la lectura de la base de datos a un archivo JSON</v>
      </c>
      <c r="E88" s="47">
        <f>Miguel!D88*24</f>
        <v>6</v>
      </c>
      <c r="F88" s="51" t="str">
        <f>Miguel!E88</f>
        <v>actualizacion del modelo</v>
      </c>
      <c r="I88" s="50">
        <f t="shared" si="1"/>
        <v>2</v>
      </c>
    </row>
    <row r="89" spans="1:9" ht="31.2" x14ac:dyDescent="0.3">
      <c r="A89" s="224"/>
      <c r="B89" s="24">
        <v>45041</v>
      </c>
      <c r="C89" s="34">
        <f>Ana!E89</f>
        <v>4.5</v>
      </c>
      <c r="D89" s="38" t="str">
        <f>Ana!F89</f>
        <v>Pasando los datos a un archivo txt dentro del proyecto de Unity</v>
      </c>
      <c r="E89" s="47">
        <f>Miguel!D89*24</f>
        <v>6</v>
      </c>
      <c r="F89" s="51" t="str">
        <f>Miguel!E89</f>
        <v>actualizacion del modelo</v>
      </c>
      <c r="I89" s="50">
        <f t="shared" si="1"/>
        <v>2</v>
      </c>
    </row>
    <row r="90" spans="1:9" ht="46.8" x14ac:dyDescent="0.3">
      <c r="A90" s="224"/>
      <c r="B90" s="24">
        <v>45042</v>
      </c>
      <c r="C90" s="34">
        <f>Ana!E90</f>
        <v>4.5</v>
      </c>
      <c r="D90" s="38" t="str">
        <f>Ana!F90</f>
        <v>Guardando los datos y creando los elementos en base a los datos guardados en el txt</v>
      </c>
      <c r="E90" s="47">
        <f>Miguel!D90*24</f>
        <v>6</v>
      </c>
      <c r="F90" s="51" t="str">
        <f>Miguel!E90</f>
        <v>corecion de texturas</v>
      </c>
      <c r="I90" s="50">
        <f t="shared" si="1"/>
        <v>2</v>
      </c>
    </row>
    <row r="91" spans="1:9" ht="46.8" x14ac:dyDescent="0.3">
      <c r="A91" s="224"/>
      <c r="B91" s="24">
        <v>45043</v>
      </c>
      <c r="C91" s="34">
        <f>Ana!E91</f>
        <v>4</v>
      </c>
      <c r="D91" s="38" t="str">
        <f>Ana!F91</f>
        <v>Creando los scripts necesarios en el administrador para la creacion de los puntos</v>
      </c>
      <c r="E91" s="47">
        <f>Miguel!D91*24</f>
        <v>6</v>
      </c>
      <c r="F91" s="51" t="str">
        <f>Miguel!E91</f>
        <v xml:space="preserve">correcion de texturas </v>
      </c>
      <c r="I91" s="50">
        <f t="shared" si="1"/>
        <v>2</v>
      </c>
    </row>
    <row r="92" spans="1:9" ht="31.2" x14ac:dyDescent="0.3">
      <c r="A92" s="224"/>
      <c r="B92" s="24">
        <v>45044</v>
      </c>
      <c r="C92" s="34">
        <f>Ana!E92</f>
        <v>6</v>
      </c>
      <c r="D92" s="38" t="str">
        <f>Ana!F92</f>
        <v>Haciendo la ventana de edicion de los puntos para editar o crear un nuevo dato</v>
      </c>
      <c r="E92" s="47">
        <f>Miguel!D92*24</f>
        <v>6</v>
      </c>
      <c r="F92" s="51" t="str">
        <f>Miguel!E92</f>
        <v>acomodo del menu de edicion</v>
      </c>
      <c r="I92" s="50">
        <f t="shared" si="1"/>
        <v>2</v>
      </c>
    </row>
    <row r="93" spans="1:9" x14ac:dyDescent="0.3">
      <c r="A93" s="224"/>
      <c r="B93" s="20">
        <v>45045</v>
      </c>
      <c r="C93" s="35">
        <f>Ana!E93</f>
        <v>0</v>
      </c>
      <c r="D93" s="53">
        <f>Ana!F93</f>
        <v>0</v>
      </c>
      <c r="E93" s="48">
        <f>Miguel!D93*24</f>
        <v>0</v>
      </c>
      <c r="F93" s="54">
        <f>Miguel!E93</f>
        <v>0</v>
      </c>
      <c r="I93" s="50">
        <f t="shared" si="1"/>
        <v>0</v>
      </c>
    </row>
    <row r="94" spans="1:9" x14ac:dyDescent="0.3">
      <c r="A94" s="224"/>
      <c r="B94" s="20">
        <v>45046</v>
      </c>
      <c r="C94" s="35">
        <f>Ana!E94</f>
        <v>0</v>
      </c>
      <c r="D94" s="53">
        <f>Ana!F94</f>
        <v>0</v>
      </c>
      <c r="E94" s="48">
        <f>Miguel!D94*24</f>
        <v>0</v>
      </c>
      <c r="F94" s="54">
        <f>Miguel!E94</f>
        <v>0</v>
      </c>
      <c r="I94" s="50">
        <f t="shared" si="1"/>
        <v>0</v>
      </c>
    </row>
    <row r="95" spans="1:9" ht="31.2" x14ac:dyDescent="0.3">
      <c r="A95" s="224">
        <v>14</v>
      </c>
      <c r="B95" s="21">
        <v>45047</v>
      </c>
      <c r="C95" s="36">
        <f>Ana!E95</f>
        <v>3</v>
      </c>
      <c r="D95" s="55" t="str">
        <f>Ana!F95</f>
        <v>Mejorando los canvas para el CRUD de los difetentes puntos</v>
      </c>
      <c r="E95" s="49">
        <f>Miguel!D95*24</f>
        <v>0</v>
      </c>
      <c r="F95" s="56">
        <f>Miguel!E95</f>
        <v>0</v>
      </c>
      <c r="I95" s="50">
        <f t="shared" si="1"/>
        <v>1</v>
      </c>
    </row>
    <row r="96" spans="1:9" x14ac:dyDescent="0.3">
      <c r="A96" s="224"/>
      <c r="B96" s="24">
        <v>45048</v>
      </c>
      <c r="C96" s="34">
        <f>Ana!E96</f>
        <v>4.5</v>
      </c>
      <c r="D96" s="38" t="str">
        <f>Ana!F96</f>
        <v>Lectura de los datos para los puntos</v>
      </c>
      <c r="E96" s="47">
        <f>Miguel!D96*24</f>
        <v>3.3333333333333321</v>
      </c>
      <c r="F96" s="51" t="str">
        <f>Miguel!E96</f>
        <v>actualizacion de los diagramas</v>
      </c>
      <c r="I96" s="50">
        <f t="shared" si="1"/>
        <v>2</v>
      </c>
    </row>
    <row r="97" spans="1:9" ht="31.2" x14ac:dyDescent="0.3">
      <c r="A97" s="224"/>
      <c r="B97" s="24">
        <v>45049</v>
      </c>
      <c r="C97" s="34">
        <f>Ana!E97</f>
        <v>3.5</v>
      </c>
      <c r="D97" s="38" t="str">
        <f>Ana!F97</f>
        <v>Mejorando la visualizacion de los diferentes puntos</v>
      </c>
      <c r="E97" s="47">
        <f>Miguel!D97*24</f>
        <v>3.833333333333333</v>
      </c>
      <c r="F97" s="51" t="str">
        <f>Miguel!E97</f>
        <v>actualizacion de los diagramas</v>
      </c>
      <c r="I97" s="50">
        <f t="shared" si="1"/>
        <v>2</v>
      </c>
    </row>
    <row r="98" spans="1:9" ht="31.2" x14ac:dyDescent="0.3">
      <c r="A98" s="224"/>
      <c r="B98" s="24">
        <v>45050</v>
      </c>
      <c r="C98" s="34">
        <f>Ana!E98</f>
        <v>4</v>
      </c>
      <c r="D98" s="38" t="str">
        <f>Ana!F98</f>
        <v>Corrigiendo problemas de codigo en la seleccion de edificios</v>
      </c>
      <c r="E98" s="47">
        <f>Miguel!D98*24</f>
        <v>0</v>
      </c>
      <c r="F98" s="51">
        <f>Miguel!E98</f>
        <v>0</v>
      </c>
      <c r="I98" s="50">
        <f t="shared" si="1"/>
        <v>1</v>
      </c>
    </row>
    <row r="99" spans="1:9" x14ac:dyDescent="0.3">
      <c r="A99" s="224"/>
      <c r="B99" s="21">
        <v>45051</v>
      </c>
      <c r="C99" s="36">
        <f>Ana!E99</f>
        <v>0</v>
      </c>
      <c r="D99" s="55">
        <f>Ana!F99</f>
        <v>0</v>
      </c>
      <c r="E99" s="49">
        <f>Miguel!D99*24</f>
        <v>0</v>
      </c>
      <c r="F99" s="56">
        <f>Miguel!E99</f>
        <v>0</v>
      </c>
      <c r="I99" s="50">
        <f t="shared" si="1"/>
        <v>0</v>
      </c>
    </row>
    <row r="100" spans="1:9" x14ac:dyDescent="0.3">
      <c r="A100" s="224"/>
      <c r="B100" s="20">
        <v>45052</v>
      </c>
      <c r="C100" s="35">
        <f>Ana!E100</f>
        <v>0</v>
      </c>
      <c r="D100" s="53">
        <f>Ana!F100</f>
        <v>0</v>
      </c>
      <c r="E100" s="48">
        <f>Miguel!D100*24</f>
        <v>0</v>
      </c>
      <c r="F100" s="54">
        <f>Miguel!E100</f>
        <v>0</v>
      </c>
      <c r="I100" s="50">
        <f t="shared" si="1"/>
        <v>0</v>
      </c>
    </row>
    <row r="101" spans="1:9" x14ac:dyDescent="0.3">
      <c r="A101" s="224"/>
      <c r="B101" s="20">
        <v>45053</v>
      </c>
      <c r="C101" s="35">
        <f>Ana!E101</f>
        <v>0</v>
      </c>
      <c r="D101" s="53">
        <f>Ana!F101</f>
        <v>0</v>
      </c>
      <c r="E101" s="48">
        <f>Miguel!D101*24</f>
        <v>0</v>
      </c>
      <c r="F101" s="54">
        <f>Miguel!E101</f>
        <v>0</v>
      </c>
      <c r="I101" s="50">
        <f t="shared" si="1"/>
        <v>0</v>
      </c>
    </row>
    <row r="102" spans="1:9" ht="31.2" x14ac:dyDescent="0.3">
      <c r="A102" s="224">
        <v>15</v>
      </c>
      <c r="B102" s="24">
        <v>45054</v>
      </c>
      <c r="C102" s="34">
        <f>Ana!E102</f>
        <v>4</v>
      </c>
      <c r="D102" s="38" t="str">
        <f>Ana!F102</f>
        <v>Ventana de presentacion
Buildeo de movil y PC</v>
      </c>
      <c r="E102" s="47">
        <f>Miguel!D102*24</f>
        <v>5.0000000000000009</v>
      </c>
      <c r="F102" s="51" t="str">
        <f>Miguel!E102</f>
        <v>actualizacion de texturas unity</v>
      </c>
      <c r="I102" s="50">
        <f t="shared" si="1"/>
        <v>2</v>
      </c>
    </row>
    <row r="103" spans="1:9" x14ac:dyDescent="0.3">
      <c r="A103" s="224"/>
      <c r="B103" s="24">
        <v>45055</v>
      </c>
      <c r="C103" s="34">
        <f>Ana!E103</f>
        <v>4</v>
      </c>
      <c r="D103" s="38" t="str">
        <f>Ana!F103</f>
        <v>Correccion para el buildeo en movil</v>
      </c>
      <c r="E103" s="47">
        <f>Miguel!D103*24</f>
        <v>3</v>
      </c>
      <c r="F103" s="51" t="str">
        <f>Miguel!E103</f>
        <v xml:space="preserve">pruebas, </v>
      </c>
      <c r="I103" s="50">
        <f t="shared" si="1"/>
        <v>2</v>
      </c>
    </row>
    <row r="104" spans="1:9" ht="31.2" x14ac:dyDescent="0.3">
      <c r="A104" s="224"/>
      <c r="B104" s="24">
        <v>45056</v>
      </c>
      <c r="C104" s="34">
        <f>Ana!E104</f>
        <v>3</v>
      </c>
      <c r="D104" s="38" t="str">
        <f>Ana!F104</f>
        <v>Creando un nuevo proyecto para corregir los problemas</v>
      </c>
      <c r="E104" s="47">
        <f>Miguel!D104*24</f>
        <v>3.666666666666667</v>
      </c>
      <c r="F104" s="51" t="str">
        <f>Miguel!E104</f>
        <v>pruebas</v>
      </c>
      <c r="I104" s="50">
        <f t="shared" si="1"/>
        <v>2</v>
      </c>
    </row>
    <row r="105" spans="1:9" x14ac:dyDescent="0.3">
      <c r="A105" s="224"/>
      <c r="B105" s="24">
        <v>45057</v>
      </c>
      <c r="C105" s="34">
        <f>Ana!E105</f>
        <v>4</v>
      </c>
      <c r="D105" s="38" t="str">
        <f>Ana!F105</f>
        <v>Creacion del manual de usuario</v>
      </c>
      <c r="E105" s="47">
        <f>Miguel!D105*24</f>
        <v>4.416666666666667</v>
      </c>
      <c r="F105" s="51" t="str">
        <f>Miguel!E105</f>
        <v>pruebas</v>
      </c>
      <c r="I105" s="50">
        <f t="shared" si="1"/>
        <v>2</v>
      </c>
    </row>
    <row r="106" spans="1:9" x14ac:dyDescent="0.3">
      <c r="A106" s="224"/>
      <c r="B106" s="24">
        <v>45058</v>
      </c>
      <c r="C106" s="34">
        <f>Ana!E106</f>
        <v>3</v>
      </c>
      <c r="D106" s="38" t="str">
        <f>Ana!F106</f>
        <v>Creacion de los manuales</v>
      </c>
      <c r="E106" s="47">
        <f>Miguel!D106*24</f>
        <v>2.8333333333333313</v>
      </c>
      <c r="F106" s="51" t="str">
        <f>Miguel!E106</f>
        <v>pruebas</v>
      </c>
      <c r="I106" s="50">
        <f t="shared" si="1"/>
        <v>2</v>
      </c>
    </row>
    <row r="107" spans="1:9" x14ac:dyDescent="0.3">
      <c r="A107" s="224"/>
      <c r="B107" s="20">
        <v>45059</v>
      </c>
      <c r="C107" s="35">
        <f>Ana!E107</f>
        <v>0</v>
      </c>
      <c r="D107" s="53">
        <f>Ana!F107</f>
        <v>0</v>
      </c>
      <c r="E107" s="48">
        <f>Miguel!D107*24</f>
        <v>0</v>
      </c>
      <c r="F107" s="54">
        <f>Miguel!E107</f>
        <v>0</v>
      </c>
      <c r="I107" s="50">
        <f t="shared" si="1"/>
        <v>0</v>
      </c>
    </row>
    <row r="108" spans="1:9" x14ac:dyDescent="0.3">
      <c r="A108" s="224"/>
      <c r="B108" s="20">
        <v>45060</v>
      </c>
      <c r="C108" s="35">
        <f>Ana!E108</f>
        <v>0</v>
      </c>
      <c r="D108" s="53">
        <f>Ana!F108</f>
        <v>0</v>
      </c>
      <c r="E108" s="48">
        <f>Miguel!D108*24</f>
        <v>0</v>
      </c>
      <c r="F108" s="54">
        <f>Miguel!E108</f>
        <v>0</v>
      </c>
      <c r="I108" s="50">
        <f t="shared" si="1"/>
        <v>0</v>
      </c>
    </row>
    <row r="109" spans="1:9" ht="31.2" x14ac:dyDescent="0.3">
      <c r="A109" s="224">
        <v>16</v>
      </c>
      <c r="B109" s="24">
        <v>45061</v>
      </c>
      <c r="C109" s="34">
        <f>Ana!E109</f>
        <v>3</v>
      </c>
      <c r="D109" s="38" t="str">
        <f>Ana!F109</f>
        <v>Creacion de los manuales tecnico y de mantenimiento</v>
      </c>
      <c r="E109" s="47">
        <f>Miguel!D109*24</f>
        <v>5.0000000000000009</v>
      </c>
      <c r="F109" s="51" t="str">
        <f>Miguel!E109</f>
        <v>actualizacion del documento de diseño</v>
      </c>
      <c r="I109" s="50">
        <f t="shared" si="1"/>
        <v>2</v>
      </c>
    </row>
    <row r="110" spans="1:9" ht="31.2" x14ac:dyDescent="0.3">
      <c r="A110" s="224"/>
      <c r="B110" s="24">
        <v>45062</v>
      </c>
      <c r="C110" s="34">
        <f>Ana!E110</f>
        <v>4</v>
      </c>
      <c r="D110" s="38" t="str">
        <f>Ana!F110</f>
        <v>Creacion de los manuales tecnico y de mantenimiento</v>
      </c>
      <c r="E110" s="47">
        <f>Miguel!D110*24</f>
        <v>5.0000000000000009</v>
      </c>
      <c r="F110" s="51" t="str">
        <f>Miguel!E110</f>
        <v>actualizacion del documento de diseño</v>
      </c>
      <c r="I110" s="50">
        <f t="shared" si="1"/>
        <v>2</v>
      </c>
    </row>
    <row r="111" spans="1:9" ht="31.2" x14ac:dyDescent="0.3">
      <c r="A111" s="224"/>
      <c r="B111" s="24">
        <v>45063</v>
      </c>
      <c r="C111" s="34">
        <f>Ana!E111</f>
        <v>3</v>
      </c>
      <c r="D111" s="38" t="str">
        <f>Ana!F111</f>
        <v>Resolucion de dependencias para la creacion del APK</v>
      </c>
      <c r="E111" s="47">
        <f>Miguel!D111*24</f>
        <v>5.0000000000000009</v>
      </c>
      <c r="F111" s="51" t="str">
        <f>Miguel!E111</f>
        <v>actualizacion del documento de diseño</v>
      </c>
      <c r="I111" s="50">
        <f t="shared" si="1"/>
        <v>2</v>
      </c>
    </row>
    <row r="112" spans="1:9" ht="46.8" x14ac:dyDescent="0.3">
      <c r="A112" s="224"/>
      <c r="B112" s="24">
        <v>45064</v>
      </c>
      <c r="C112" s="34">
        <f>Ana!E112</f>
        <v>4.5</v>
      </c>
      <c r="D112" s="38" t="str">
        <f>Ana!F112</f>
        <v>Correccion de codigo
Intentando realializar la conexion a internet para el APK</v>
      </c>
      <c r="E112" s="47">
        <f>Miguel!D112*24</f>
        <v>5.0000000000000009</v>
      </c>
      <c r="F112" s="51" t="str">
        <f>Miguel!E112</f>
        <v>actualizacion de matriz de trasabilidad</v>
      </c>
      <c r="I112" s="50">
        <f t="shared" si="1"/>
        <v>2</v>
      </c>
    </row>
    <row r="113" spans="1:9" ht="46.8" x14ac:dyDescent="0.3">
      <c r="A113" s="224"/>
      <c r="B113" s="24">
        <v>45065</v>
      </c>
      <c r="C113" s="34">
        <f>Ana!E113</f>
        <v>7</v>
      </c>
      <c r="D113" s="38" t="str">
        <f>Ana!F113</f>
        <v>Creacion de las minutas faltantes
Creando el ABB para la PlayStore
Intantandola subir a la Play</v>
      </c>
      <c r="E113" s="47">
        <f>Miguel!D113*24</f>
        <v>5.0000000000000009</v>
      </c>
      <c r="F113" s="51" t="str">
        <f>Miguel!E113</f>
        <v>actualizacion de matriz de trasabilidad</v>
      </c>
      <c r="I113" s="50">
        <f t="shared" si="1"/>
        <v>2</v>
      </c>
    </row>
    <row r="114" spans="1:9" ht="31.2" x14ac:dyDescent="0.3">
      <c r="A114" s="224"/>
      <c r="B114" s="20">
        <v>45066</v>
      </c>
      <c r="C114" s="35">
        <f>Ana!E114</f>
        <v>2</v>
      </c>
      <c r="D114" s="53" t="str">
        <f>Ana!F114</f>
        <v>Modificando el codigo para ver si se puede actualizar en el instante</v>
      </c>
      <c r="E114" s="48">
        <f>Miguel!D114*24</f>
        <v>2.9999999999999987</v>
      </c>
      <c r="F114" s="54" t="str">
        <f>Miguel!E114</f>
        <v>pruebas</v>
      </c>
      <c r="I114" s="50">
        <f t="shared" si="1"/>
        <v>2</v>
      </c>
    </row>
    <row r="115" spans="1:9" ht="46.8" x14ac:dyDescent="0.3">
      <c r="A115" s="224"/>
      <c r="B115" s="20">
        <v>45067</v>
      </c>
      <c r="C115" s="35">
        <f>Ana!E115</f>
        <v>3</v>
      </c>
      <c r="D115" s="53" t="str">
        <f>Ana!F115</f>
        <v>Correccion para que se actualize en automatico los puntos del administrador una vez creados o borrados.</v>
      </c>
      <c r="E115" s="48">
        <f>Miguel!D115*24</f>
        <v>0</v>
      </c>
      <c r="F115" s="54">
        <f>Miguel!E115</f>
        <v>0</v>
      </c>
      <c r="I115" s="50">
        <f t="shared" si="1"/>
        <v>1</v>
      </c>
    </row>
    <row r="116" spans="1:9" ht="31.2" x14ac:dyDescent="0.3">
      <c r="A116" s="224">
        <v>17</v>
      </c>
      <c r="B116" s="24">
        <v>45068</v>
      </c>
      <c r="C116" s="34">
        <f>Ana!E116</f>
        <v>2</v>
      </c>
      <c r="D116" s="38" t="str">
        <f>Ana!F116</f>
        <v xml:space="preserve">Correccion en el menu de busqueda: se elimina el elemento de ejemplo </v>
      </c>
      <c r="E116" s="47">
        <f>Miguel!D116*24</f>
        <v>4.5</v>
      </c>
      <c r="F116" s="51" t="str">
        <f>Miguel!E116</f>
        <v>actualizacion de la matriz de trasabilidad</v>
      </c>
      <c r="I116" s="50">
        <f t="shared" si="1"/>
        <v>2</v>
      </c>
    </row>
    <row r="117" spans="1:9" ht="46.8" x14ac:dyDescent="0.3">
      <c r="A117" s="224"/>
      <c r="B117" s="24">
        <v>45069</v>
      </c>
      <c r="C117" s="34">
        <f>Ana!E117</f>
        <v>2</v>
      </c>
      <c r="D117" s="38" t="str">
        <f>Ana!F117</f>
        <v>Correcciones de los manuales
Creacion de los repositorios para guardar los modelos y proyectos de Unity</v>
      </c>
      <c r="E117" s="47">
        <f>Miguel!D117*24</f>
        <v>4</v>
      </c>
      <c r="F117" s="51" t="str">
        <f>Miguel!E117</f>
        <v>actualizacion de la matriz de trasabilidad</v>
      </c>
      <c r="I117" s="50">
        <f t="shared" si="1"/>
        <v>2</v>
      </c>
    </row>
    <row r="118" spans="1:9" ht="31.2" x14ac:dyDescent="0.3">
      <c r="A118" s="224"/>
      <c r="B118" s="24">
        <v>45070</v>
      </c>
      <c r="C118" s="34">
        <f>Ana!E118</f>
        <v>3</v>
      </c>
      <c r="D118" s="38" t="str">
        <f>Ana!F118</f>
        <v>Correccion en el manual de usuario
Termino de las minutas</v>
      </c>
      <c r="E118" s="47">
        <f>Miguel!D118*24</f>
        <v>5</v>
      </c>
      <c r="F118" s="51" t="str">
        <f>Miguel!E118</f>
        <v>Suba de datos a la BD  y otros documentos</v>
      </c>
      <c r="I118" s="50">
        <f t="shared" si="1"/>
        <v>2</v>
      </c>
    </row>
    <row r="119" spans="1:9" ht="62.4" x14ac:dyDescent="0.3">
      <c r="A119" s="224"/>
      <c r="B119" s="24">
        <v>45071</v>
      </c>
      <c r="C119" s="34">
        <f>Ana!E119</f>
        <v>5</v>
      </c>
      <c r="D119" s="38" t="str">
        <f>Ana!F119</f>
        <v>Inicio del reporte final
Minutas cliente
Correcciones en el cronograma
Clases de diagramas de clase</v>
      </c>
      <c r="E119" s="47">
        <f>Miguel!D119*24</f>
        <v>9</v>
      </c>
      <c r="F119" s="51" t="str">
        <f>Miguel!E119</f>
        <v>Alta datos DB, Actualizacion diseño, Actualizacion  diagrama de clases</v>
      </c>
      <c r="I119" s="50">
        <f t="shared" si="1"/>
        <v>2</v>
      </c>
    </row>
    <row r="120" spans="1:9" ht="62.4" x14ac:dyDescent="0.3">
      <c r="A120" s="224"/>
      <c r="B120" s="24">
        <v>45072</v>
      </c>
      <c r="C120" s="34">
        <f>Ana!E120</f>
        <v>6</v>
      </c>
      <c r="D120" s="38" t="str">
        <f>Ana!F120</f>
        <v>Actualizando mitigaciones
Realizando analisis de horas
Acomodando las actividades
Reporte final</v>
      </c>
      <c r="E120" s="47">
        <f>Miguel!D120*24</f>
        <v>0</v>
      </c>
      <c r="F120" s="51" t="str">
        <f>Miguel!E120</f>
        <v>creacion dse nuevos puntos</v>
      </c>
      <c r="I120" s="50">
        <f t="shared" si="1"/>
        <v>1</v>
      </c>
    </row>
    <row r="121" spans="1:9" ht="31.2" x14ac:dyDescent="0.3">
      <c r="A121" s="224"/>
      <c r="B121" s="20">
        <v>45073</v>
      </c>
      <c r="C121" s="35">
        <f>Ana!E121</f>
        <v>3</v>
      </c>
      <c r="D121" s="53" t="str">
        <f>Ana!F121</f>
        <v>Recopilando datos del las actividades (horas y dias)</v>
      </c>
      <c r="E121" s="48">
        <f>Miguel!D121*24</f>
        <v>0</v>
      </c>
      <c r="F121" s="54">
        <f>Miguel!E121</f>
        <v>0</v>
      </c>
      <c r="I121" s="50">
        <f t="shared" si="1"/>
        <v>1</v>
      </c>
    </row>
    <row r="122" spans="1:9" ht="31.2" x14ac:dyDescent="0.3">
      <c r="A122" s="224"/>
      <c r="B122" s="20">
        <v>45074</v>
      </c>
      <c r="C122" s="35">
        <f>Ana!E122</f>
        <v>3</v>
      </c>
      <c r="D122" s="53" t="str">
        <f>Ana!F122</f>
        <v>Resumen de las horas laboradas acorde a cada actividad y fase</v>
      </c>
      <c r="E122" s="48">
        <f>Miguel!D122*24</f>
        <v>0</v>
      </c>
      <c r="F122" s="54">
        <f>Miguel!E122</f>
        <v>0</v>
      </c>
      <c r="I122" s="50">
        <f t="shared" si="1"/>
        <v>1</v>
      </c>
    </row>
    <row r="123" spans="1:9" ht="31.2" x14ac:dyDescent="0.3">
      <c r="A123" s="224">
        <v>18</v>
      </c>
      <c r="B123" s="24">
        <v>45075</v>
      </c>
      <c r="C123" s="34">
        <f>Ana!E123</f>
        <v>3</v>
      </c>
      <c r="D123" s="38" t="str">
        <f>Ana!F123</f>
        <v>Creacion de los carteles
Analisis de horas</v>
      </c>
      <c r="E123" s="47">
        <f>Miguel!D123*24</f>
        <v>3.9999999999999991</v>
      </c>
      <c r="F123" s="51" t="str">
        <f>Miguel!E123</f>
        <v>actualizacion del diagrama de clases y otras observaciones</v>
      </c>
      <c r="I123" s="50">
        <f t="shared" si="1"/>
        <v>2</v>
      </c>
    </row>
    <row r="124" spans="1:9" x14ac:dyDescent="0.3">
      <c r="A124" s="224"/>
      <c r="B124" s="24">
        <v>45076</v>
      </c>
      <c r="C124" s="34">
        <f>Ana!E124</f>
        <v>4.5</v>
      </c>
      <c r="D124" s="38" t="str">
        <f>Ana!F124</f>
        <v>Reporte 2</v>
      </c>
      <c r="E124" s="47">
        <f>Miguel!D124*24</f>
        <v>5</v>
      </c>
      <c r="F124" s="51" t="str">
        <f>Miguel!E124</f>
        <v>roperte final</v>
      </c>
      <c r="I124" s="50">
        <f t="shared" si="1"/>
        <v>2</v>
      </c>
    </row>
    <row r="125" spans="1:9" ht="31.2" x14ac:dyDescent="0.3">
      <c r="A125" s="224"/>
      <c r="B125" s="24">
        <v>45077</v>
      </c>
      <c r="C125" s="34">
        <f>Ana!E125</f>
        <v>3</v>
      </c>
      <c r="D125" s="38" t="str">
        <f>Ana!F125</f>
        <v xml:space="preserve">Realizacion del reporte 2
</v>
      </c>
      <c r="E125" s="47">
        <f>Miguel!D125*24</f>
        <v>10</v>
      </c>
      <c r="F125" s="51" t="str">
        <f>Miguel!E125</f>
        <v>planeacion del video y roperote final</v>
      </c>
      <c r="I125" s="50">
        <f t="shared" si="1"/>
        <v>2</v>
      </c>
    </row>
    <row r="126" spans="1:9" ht="31.2" x14ac:dyDescent="0.3">
      <c r="A126" s="224"/>
      <c r="B126" s="24">
        <v>45078</v>
      </c>
      <c r="C126" s="34">
        <f>Ana!E126</f>
        <v>5</v>
      </c>
      <c r="D126" s="38" t="str">
        <f>Ana!F126</f>
        <v>Pegar los carteles
Revision de los reportes</v>
      </c>
      <c r="E126" s="47">
        <f>Miguel!D126*24</f>
        <v>7</v>
      </c>
      <c r="F126" s="51" t="str">
        <f>Miguel!E126</f>
        <v>reporte final y elaboraicon de los videos</v>
      </c>
      <c r="I126" s="50">
        <f t="shared" si="1"/>
        <v>2</v>
      </c>
    </row>
    <row r="127" spans="1:9" ht="31.2" x14ac:dyDescent="0.3">
      <c r="A127" s="224"/>
      <c r="B127" s="24">
        <v>45079</v>
      </c>
      <c r="C127" s="34">
        <f>Ana!E127</f>
        <v>4</v>
      </c>
      <c r="D127" s="38" t="str">
        <f>Ana!F127</f>
        <v xml:space="preserve">Realizacion del reporte 2
</v>
      </c>
      <c r="E127" s="47">
        <f>Miguel!D127*24</f>
        <v>0</v>
      </c>
      <c r="F127" s="51">
        <f>Miguel!E127</f>
        <v>0</v>
      </c>
      <c r="I127" s="50">
        <f t="shared" si="1"/>
        <v>1</v>
      </c>
    </row>
    <row r="128" spans="1:9" x14ac:dyDescent="0.3">
      <c r="A128" s="224"/>
      <c r="B128" s="20">
        <v>45080</v>
      </c>
      <c r="C128" s="35">
        <f>Ana!E128</f>
        <v>0</v>
      </c>
      <c r="D128" s="53">
        <f>Ana!F128</f>
        <v>0</v>
      </c>
      <c r="E128" s="48">
        <f>Miguel!D128*24</f>
        <v>0</v>
      </c>
      <c r="F128" s="54">
        <f>Miguel!E128</f>
        <v>0</v>
      </c>
    </row>
    <row r="129" spans="1:6" x14ac:dyDescent="0.3">
      <c r="A129" s="224"/>
      <c r="B129" s="20">
        <v>45081</v>
      </c>
      <c r="C129" s="35">
        <f>Ana!E129</f>
        <v>0</v>
      </c>
      <c r="D129" s="53">
        <f>Ana!F129</f>
        <v>0</v>
      </c>
      <c r="E129" s="48">
        <f>Miguel!D129*24</f>
        <v>0</v>
      </c>
      <c r="F129" s="54">
        <f>Miguel!E129</f>
        <v>0</v>
      </c>
    </row>
    <row r="130" spans="1:6" x14ac:dyDescent="0.3">
      <c r="A130" s="224">
        <v>19</v>
      </c>
      <c r="B130" s="24">
        <v>45082</v>
      </c>
      <c r="C130" s="34">
        <f>Ana!E130</f>
        <v>0</v>
      </c>
      <c r="D130" s="38">
        <f>Ana!F130</f>
        <v>0</v>
      </c>
      <c r="E130" s="47">
        <f>Miguel!D130*24</f>
        <v>0</v>
      </c>
      <c r="F130" s="51">
        <f>Miguel!E130</f>
        <v>0</v>
      </c>
    </row>
    <row r="131" spans="1:6" x14ac:dyDescent="0.3">
      <c r="A131" s="224"/>
      <c r="B131" s="24">
        <v>45083</v>
      </c>
      <c r="C131" s="34">
        <f>Ana!E131</f>
        <v>0</v>
      </c>
      <c r="D131" s="38">
        <f>Ana!F131</f>
        <v>0</v>
      </c>
      <c r="E131" s="47">
        <f>Miguel!D131*24</f>
        <v>0</v>
      </c>
      <c r="F131" s="51">
        <f>Miguel!E131</f>
        <v>0</v>
      </c>
    </row>
    <row r="132" spans="1:6" x14ac:dyDescent="0.3">
      <c r="A132" s="224"/>
      <c r="B132" s="24">
        <v>45084</v>
      </c>
      <c r="C132" s="34">
        <f>Ana!E132</f>
        <v>0</v>
      </c>
      <c r="D132" s="38">
        <f>Ana!F132</f>
        <v>0</v>
      </c>
      <c r="E132" s="47">
        <f>Miguel!D132*24</f>
        <v>0</v>
      </c>
      <c r="F132" s="51">
        <f>Miguel!E132</f>
        <v>0</v>
      </c>
    </row>
    <row r="133" spans="1:6" x14ac:dyDescent="0.3">
      <c r="A133" s="224"/>
      <c r="B133" s="24">
        <v>45085</v>
      </c>
      <c r="C133" s="34">
        <f>Ana!E133</f>
        <v>0</v>
      </c>
      <c r="D133" s="38">
        <f>Ana!F133</f>
        <v>0</v>
      </c>
      <c r="E133" s="47">
        <f>Miguel!D133*24</f>
        <v>0</v>
      </c>
      <c r="F133" s="51">
        <f>Miguel!E133</f>
        <v>0</v>
      </c>
    </row>
    <row r="134" spans="1:6" x14ac:dyDescent="0.3">
      <c r="A134" s="224"/>
      <c r="B134" s="24">
        <v>45086</v>
      </c>
      <c r="C134" s="34">
        <f>Ana!E134</f>
        <v>0</v>
      </c>
      <c r="D134" s="38">
        <f>Ana!F134</f>
        <v>0</v>
      </c>
      <c r="E134" s="47">
        <f>Miguel!D134*24</f>
        <v>0</v>
      </c>
      <c r="F134" s="51">
        <f>Miguel!E134</f>
        <v>0</v>
      </c>
    </row>
    <row r="135" spans="1:6" x14ac:dyDescent="0.3">
      <c r="A135" s="224"/>
      <c r="B135" s="20">
        <v>45087</v>
      </c>
      <c r="C135" s="35">
        <f>Ana!E135</f>
        <v>0</v>
      </c>
      <c r="D135" s="53">
        <f>Ana!F135</f>
        <v>0</v>
      </c>
      <c r="E135" s="48">
        <f>Miguel!D135*24</f>
        <v>0</v>
      </c>
      <c r="F135" s="54">
        <f>Miguel!E135</f>
        <v>0</v>
      </c>
    </row>
    <row r="136" spans="1:6" x14ac:dyDescent="0.3">
      <c r="A136" s="224"/>
      <c r="B136" s="20">
        <v>45088</v>
      </c>
      <c r="C136" s="35">
        <f>Ana!E136</f>
        <v>0</v>
      </c>
      <c r="D136" s="53">
        <f>Ana!F136</f>
        <v>0</v>
      </c>
      <c r="E136" s="48">
        <f>Miguel!D136*24</f>
        <v>0</v>
      </c>
      <c r="F136" s="54">
        <f>Miguel!E136</f>
        <v>0</v>
      </c>
    </row>
    <row r="137" spans="1:6" x14ac:dyDescent="0.3">
      <c r="A137" s="224">
        <v>20</v>
      </c>
      <c r="B137" s="24">
        <v>45089</v>
      </c>
      <c r="C137" s="34">
        <f>Ana!E137</f>
        <v>0</v>
      </c>
      <c r="D137" s="38">
        <f>Ana!F137</f>
        <v>0</v>
      </c>
      <c r="E137" s="47">
        <f>Miguel!D137*24</f>
        <v>0</v>
      </c>
      <c r="F137" s="51">
        <f>Miguel!E137</f>
        <v>0</v>
      </c>
    </row>
    <row r="138" spans="1:6" x14ac:dyDescent="0.3">
      <c r="A138" s="224"/>
      <c r="B138" s="24">
        <v>45090</v>
      </c>
      <c r="C138" s="34">
        <f>Ana!E138</f>
        <v>0</v>
      </c>
      <c r="D138" s="38">
        <f>Ana!F138</f>
        <v>0</v>
      </c>
      <c r="E138" s="47">
        <f>Miguel!D138*24</f>
        <v>0</v>
      </c>
      <c r="F138" s="51">
        <f>Miguel!E138</f>
        <v>0</v>
      </c>
    </row>
    <row r="139" spans="1:6" x14ac:dyDescent="0.3">
      <c r="A139" s="224"/>
      <c r="B139" s="24">
        <v>45091</v>
      </c>
      <c r="C139" s="34">
        <f>Ana!E139</f>
        <v>0</v>
      </c>
      <c r="D139" s="38">
        <f>Ana!F139</f>
        <v>0</v>
      </c>
      <c r="E139" s="47">
        <f>Miguel!D139*24</f>
        <v>0</v>
      </c>
      <c r="F139" s="51">
        <f>Miguel!E139</f>
        <v>0</v>
      </c>
    </row>
    <row r="140" spans="1:6" x14ac:dyDescent="0.3">
      <c r="A140" s="224"/>
      <c r="B140" s="24">
        <v>45092</v>
      </c>
      <c r="C140" s="34">
        <f>Ana!E140</f>
        <v>0</v>
      </c>
      <c r="D140" s="38">
        <f>Ana!F140</f>
        <v>0</v>
      </c>
      <c r="E140" s="47">
        <f>Miguel!D140*24</f>
        <v>0</v>
      </c>
      <c r="F140" s="51">
        <f>Miguel!E140</f>
        <v>0</v>
      </c>
    </row>
    <row r="141" spans="1:6" x14ac:dyDescent="0.3">
      <c r="A141" s="224"/>
      <c r="B141" s="24">
        <v>45093</v>
      </c>
      <c r="C141" s="34">
        <f>Ana!E141</f>
        <v>0</v>
      </c>
      <c r="D141" s="38">
        <f>Ana!F141</f>
        <v>0</v>
      </c>
      <c r="E141" s="47">
        <f>Miguel!D141*24</f>
        <v>0</v>
      </c>
      <c r="F141" s="51">
        <f>Miguel!E141</f>
        <v>0</v>
      </c>
    </row>
    <row r="142" spans="1:6" x14ac:dyDescent="0.3">
      <c r="A142" s="224"/>
      <c r="B142" s="20">
        <v>45094</v>
      </c>
      <c r="C142" s="35">
        <f>Ana!E142</f>
        <v>0</v>
      </c>
      <c r="D142" s="53">
        <f>Ana!F142</f>
        <v>0</v>
      </c>
      <c r="E142" s="48">
        <f>Miguel!D142*24</f>
        <v>0</v>
      </c>
      <c r="F142" s="54">
        <f>Miguel!E142</f>
        <v>0</v>
      </c>
    </row>
    <row r="143" spans="1:6" x14ac:dyDescent="0.3">
      <c r="A143" s="224"/>
      <c r="B143" s="20">
        <v>45095</v>
      </c>
      <c r="C143" s="35">
        <f>Ana!E143</f>
        <v>0</v>
      </c>
      <c r="D143" s="53">
        <f>Ana!F143</f>
        <v>0</v>
      </c>
      <c r="E143" s="48">
        <f>Miguel!D143*24</f>
        <v>0</v>
      </c>
      <c r="F143" s="54">
        <f>Miguel!E143</f>
        <v>0</v>
      </c>
    </row>
    <row r="144" spans="1:6" x14ac:dyDescent="0.3">
      <c r="A144" s="224">
        <v>21</v>
      </c>
      <c r="B144" s="24">
        <v>45096</v>
      </c>
      <c r="C144" s="34">
        <f>Ana!E144</f>
        <v>0</v>
      </c>
      <c r="D144" s="38">
        <f>Ana!F144</f>
        <v>0</v>
      </c>
      <c r="E144" s="47">
        <f>Miguel!D144*24</f>
        <v>0</v>
      </c>
      <c r="F144" s="51">
        <f>Miguel!E144</f>
        <v>0</v>
      </c>
    </row>
    <row r="145" spans="1:6" x14ac:dyDescent="0.3">
      <c r="A145" s="224"/>
      <c r="B145" s="24">
        <v>45097</v>
      </c>
      <c r="C145" s="34">
        <f>Ana!E145</f>
        <v>0</v>
      </c>
      <c r="D145" s="38">
        <f>Ana!F145</f>
        <v>0</v>
      </c>
      <c r="E145" s="47">
        <f>Miguel!D145*24</f>
        <v>0</v>
      </c>
      <c r="F145" s="51">
        <f>Miguel!E145</f>
        <v>0</v>
      </c>
    </row>
    <row r="146" spans="1:6" x14ac:dyDescent="0.3">
      <c r="A146" s="224"/>
      <c r="B146" s="24">
        <v>45098</v>
      </c>
      <c r="C146" s="34">
        <f>Ana!E146</f>
        <v>0</v>
      </c>
      <c r="D146" s="38">
        <f>Ana!F146</f>
        <v>0</v>
      </c>
      <c r="E146" s="47">
        <f>Miguel!D146*24</f>
        <v>0</v>
      </c>
      <c r="F146" s="51">
        <f>Miguel!E146</f>
        <v>0</v>
      </c>
    </row>
    <row r="147" spans="1:6" x14ac:dyDescent="0.3">
      <c r="A147" s="224"/>
      <c r="B147" s="24">
        <v>45099</v>
      </c>
      <c r="C147" s="34">
        <f>Ana!E147</f>
        <v>0</v>
      </c>
      <c r="D147" s="38">
        <f>Ana!F147</f>
        <v>0</v>
      </c>
      <c r="E147" s="47">
        <f>Miguel!D147*24</f>
        <v>0</v>
      </c>
      <c r="F147" s="51">
        <f>Miguel!E147</f>
        <v>0</v>
      </c>
    </row>
    <row r="148" spans="1:6" x14ac:dyDescent="0.3">
      <c r="A148" s="224"/>
      <c r="B148" s="24">
        <v>45100</v>
      </c>
      <c r="C148" s="34">
        <f>Ana!E148</f>
        <v>0</v>
      </c>
      <c r="D148" s="38">
        <f>Ana!F148</f>
        <v>0</v>
      </c>
      <c r="E148" s="47">
        <f>Miguel!D148*24</f>
        <v>0</v>
      </c>
      <c r="F148" s="51">
        <f>Miguel!E148</f>
        <v>0</v>
      </c>
    </row>
    <row r="149" spans="1:6" x14ac:dyDescent="0.3">
      <c r="A149" s="224"/>
      <c r="B149" s="20">
        <v>45101</v>
      </c>
      <c r="C149" s="35">
        <f>Ana!E149</f>
        <v>0</v>
      </c>
      <c r="D149" s="53">
        <f>Ana!F149</f>
        <v>0</v>
      </c>
      <c r="E149" s="48">
        <f>Miguel!D149*24</f>
        <v>0</v>
      </c>
      <c r="F149" s="54">
        <f>Miguel!E149</f>
        <v>0</v>
      </c>
    </row>
    <row r="150" spans="1:6" x14ac:dyDescent="0.3">
      <c r="A150" s="224"/>
      <c r="B150" s="20">
        <v>45102</v>
      </c>
      <c r="C150" s="35">
        <f>Ana!E150</f>
        <v>0</v>
      </c>
      <c r="D150" s="53">
        <f>Ana!F150</f>
        <v>0</v>
      </c>
      <c r="E150" s="48">
        <f>Miguel!D150*24</f>
        <v>0</v>
      </c>
      <c r="F150" s="54">
        <f>Miguel!E150</f>
        <v>0</v>
      </c>
    </row>
    <row r="151" spans="1:6" ht="16.2" thickBot="1" x14ac:dyDescent="0.35">
      <c r="A151" s="25"/>
      <c r="B151" s="26">
        <v>45103</v>
      </c>
      <c r="C151" s="37">
        <f>Ana!E151</f>
        <v>0</v>
      </c>
      <c r="D151" s="52">
        <f>Ana!F151</f>
        <v>0</v>
      </c>
      <c r="E151" s="47">
        <f>Miguel!D151*24</f>
        <v>0</v>
      </c>
      <c r="F151" s="51">
        <f>Miguel!E151</f>
        <v>0</v>
      </c>
    </row>
    <row r="152" spans="1:6" x14ac:dyDescent="0.3">
      <c r="A152" s="16"/>
      <c r="B152" s="7"/>
    </row>
    <row r="153" spans="1:6" x14ac:dyDescent="0.3">
      <c r="A153" s="16"/>
      <c r="B153" s="7"/>
    </row>
    <row r="154" spans="1:6" x14ac:dyDescent="0.3">
      <c r="A154" s="16"/>
      <c r="B154" s="7"/>
    </row>
    <row r="155" spans="1:6" x14ac:dyDescent="0.3">
      <c r="A155" s="16"/>
      <c r="B155" s="7"/>
    </row>
    <row r="156" spans="1:6" x14ac:dyDescent="0.3">
      <c r="A156" s="16"/>
      <c r="B156" s="7"/>
    </row>
    <row r="157" spans="1:6" x14ac:dyDescent="0.3">
      <c r="A157" s="16"/>
      <c r="B157" s="7"/>
    </row>
    <row r="158" spans="1:6" x14ac:dyDescent="0.3">
      <c r="A158" s="16"/>
      <c r="B158" s="7"/>
    </row>
    <row r="159" spans="1:6" x14ac:dyDescent="0.3">
      <c r="A159" s="16"/>
      <c r="B159" s="7"/>
    </row>
    <row r="160" spans="1:6" x14ac:dyDescent="0.3">
      <c r="A160" s="16"/>
      <c r="B160" s="7"/>
    </row>
    <row r="161" spans="1:2" x14ac:dyDescent="0.3">
      <c r="A161" s="16"/>
      <c r="B161" s="7"/>
    </row>
    <row r="162" spans="1:2" x14ac:dyDescent="0.3">
      <c r="A162" s="16"/>
      <c r="B162" s="7"/>
    </row>
    <row r="163" spans="1:2" x14ac:dyDescent="0.3">
      <c r="A163" s="16"/>
      <c r="B163" s="7"/>
    </row>
    <row r="164" spans="1:2" x14ac:dyDescent="0.3">
      <c r="A164" s="16"/>
      <c r="B164" s="7"/>
    </row>
    <row r="165" spans="1:2" x14ac:dyDescent="0.3">
      <c r="A165" s="16"/>
      <c r="B165" s="7"/>
    </row>
    <row r="166" spans="1:2" x14ac:dyDescent="0.3">
      <c r="A166" s="16"/>
      <c r="B166" s="7"/>
    </row>
    <row r="167" spans="1:2" x14ac:dyDescent="0.3">
      <c r="A167" s="16"/>
      <c r="B167" s="7"/>
    </row>
    <row r="168" spans="1:2" x14ac:dyDescent="0.3">
      <c r="A168" s="16"/>
      <c r="B168" s="7"/>
    </row>
    <row r="169" spans="1:2" x14ac:dyDescent="0.3">
      <c r="A169" s="16"/>
      <c r="B169" s="7"/>
    </row>
    <row r="170" spans="1:2" x14ac:dyDescent="0.3">
      <c r="A170" s="16"/>
      <c r="B170" s="7"/>
    </row>
    <row r="171" spans="1:2" x14ac:dyDescent="0.3">
      <c r="A171" s="16"/>
      <c r="B171" s="7"/>
    </row>
    <row r="172" spans="1:2" x14ac:dyDescent="0.3">
      <c r="A172" s="16"/>
      <c r="B172" s="7"/>
    </row>
    <row r="173" spans="1:2" x14ac:dyDescent="0.3">
      <c r="A173" s="16"/>
      <c r="B173" s="7"/>
    </row>
    <row r="174" spans="1:2" x14ac:dyDescent="0.3">
      <c r="A174" s="16"/>
      <c r="B174" s="7"/>
    </row>
    <row r="175" spans="1:2" x14ac:dyDescent="0.3">
      <c r="A175" s="16"/>
      <c r="B175" s="7"/>
    </row>
    <row r="176" spans="1:2" x14ac:dyDescent="0.3">
      <c r="A176" s="16"/>
      <c r="B176" s="7"/>
    </row>
    <row r="177" spans="1:2" x14ac:dyDescent="0.3">
      <c r="A177" s="16"/>
      <c r="B177" s="7"/>
    </row>
    <row r="178" spans="1:2" x14ac:dyDescent="0.3">
      <c r="A178" s="16"/>
      <c r="B178" s="7"/>
    </row>
    <row r="179" spans="1:2" x14ac:dyDescent="0.3">
      <c r="A179" s="16"/>
      <c r="B179" s="7"/>
    </row>
    <row r="180" spans="1:2" x14ac:dyDescent="0.3">
      <c r="A180" s="16"/>
      <c r="B180" s="7"/>
    </row>
    <row r="181" spans="1:2" x14ac:dyDescent="0.3">
      <c r="A181" s="16"/>
      <c r="B181" s="7"/>
    </row>
    <row r="182" spans="1:2" x14ac:dyDescent="0.3">
      <c r="A182" s="16"/>
      <c r="B182" s="7"/>
    </row>
    <row r="183" spans="1:2" x14ac:dyDescent="0.3">
      <c r="A183" s="16"/>
      <c r="B183" s="7"/>
    </row>
    <row r="184" spans="1:2" x14ac:dyDescent="0.3">
      <c r="A184" s="16"/>
      <c r="B184" s="7"/>
    </row>
    <row r="185" spans="1:2" x14ac:dyDescent="0.3">
      <c r="A185" s="16"/>
      <c r="B185" s="7"/>
    </row>
    <row r="186" spans="1:2" x14ac:dyDescent="0.3">
      <c r="A186" s="16"/>
      <c r="B186" s="7"/>
    </row>
    <row r="187" spans="1:2" x14ac:dyDescent="0.3">
      <c r="A187" s="16"/>
      <c r="B187" s="7"/>
    </row>
    <row r="188" spans="1:2" x14ac:dyDescent="0.3">
      <c r="A188" s="16"/>
      <c r="B188" s="7"/>
    </row>
    <row r="189" spans="1:2" x14ac:dyDescent="0.3">
      <c r="A189" s="16"/>
      <c r="B189" s="7"/>
    </row>
    <row r="190" spans="1:2" x14ac:dyDescent="0.3">
      <c r="A190" s="16"/>
      <c r="B190" s="7"/>
    </row>
    <row r="191" spans="1:2" x14ac:dyDescent="0.3">
      <c r="A191" s="16"/>
      <c r="B191" s="7"/>
    </row>
    <row r="192" spans="1:2" x14ac:dyDescent="0.3">
      <c r="A192" s="16"/>
      <c r="B192" s="7"/>
    </row>
    <row r="193" spans="1:2" x14ac:dyDescent="0.3">
      <c r="A193" s="16"/>
      <c r="B193" s="7"/>
    </row>
    <row r="194" spans="1:2" x14ac:dyDescent="0.3">
      <c r="A194" s="16"/>
      <c r="B194" s="7"/>
    </row>
    <row r="195" spans="1:2" x14ac:dyDescent="0.3">
      <c r="A195" s="16"/>
      <c r="B195" s="7"/>
    </row>
    <row r="196" spans="1:2" x14ac:dyDescent="0.3">
      <c r="A196" s="16"/>
      <c r="B196" s="7"/>
    </row>
    <row r="197" spans="1:2" x14ac:dyDescent="0.3">
      <c r="A197" s="16"/>
      <c r="B197" s="7"/>
    </row>
    <row r="198" spans="1:2" x14ac:dyDescent="0.3">
      <c r="A198" s="16"/>
      <c r="B198" s="7"/>
    </row>
    <row r="199" spans="1:2" x14ac:dyDescent="0.3">
      <c r="A199" s="16"/>
      <c r="B199" s="7"/>
    </row>
    <row r="200" spans="1:2" x14ac:dyDescent="0.3">
      <c r="A200" s="16"/>
      <c r="B200" s="7"/>
    </row>
    <row r="201" spans="1:2" x14ac:dyDescent="0.3">
      <c r="A201" s="16"/>
      <c r="B201" s="7"/>
    </row>
    <row r="202" spans="1:2" x14ac:dyDescent="0.3">
      <c r="A202" s="16"/>
      <c r="B202" s="7"/>
    </row>
    <row r="203" spans="1:2" x14ac:dyDescent="0.3">
      <c r="A203" s="16"/>
      <c r="B203" s="7"/>
    </row>
    <row r="204" spans="1:2" x14ac:dyDescent="0.3">
      <c r="A204" s="16"/>
      <c r="B204" s="7"/>
    </row>
  </sheetData>
  <mergeCells count="24">
    <mergeCell ref="A1:B2"/>
    <mergeCell ref="C1:D2"/>
    <mergeCell ref="E1:F2"/>
    <mergeCell ref="A4:A10"/>
    <mergeCell ref="A11:A17"/>
    <mergeCell ref="A18:A24"/>
    <mergeCell ref="A25:A31"/>
    <mergeCell ref="A32:A38"/>
    <mergeCell ref="A39:A45"/>
    <mergeCell ref="A46:A52"/>
    <mergeCell ref="A53:A59"/>
    <mergeCell ref="A60:A66"/>
    <mergeCell ref="A67:A73"/>
    <mergeCell ref="A74:A80"/>
    <mergeCell ref="A81:A87"/>
    <mergeCell ref="A123:A129"/>
    <mergeCell ref="A130:A136"/>
    <mergeCell ref="A137:A143"/>
    <mergeCell ref="A144:A150"/>
    <mergeCell ref="A88:A94"/>
    <mergeCell ref="A95:A101"/>
    <mergeCell ref="A102:A108"/>
    <mergeCell ref="A109:A115"/>
    <mergeCell ref="A116:A12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H317"/>
  <sheetViews>
    <sheetView topLeftCell="A119" workbookViewId="0">
      <selection activeCell="F125" sqref="F125"/>
    </sheetView>
  </sheetViews>
  <sheetFormatPr baseColWidth="10" defaultColWidth="11" defaultRowHeight="14.25" customHeight="1" x14ac:dyDescent="0.3"/>
  <cols>
    <col min="1" max="1" width="10.69921875" style="17" customWidth="1"/>
    <col min="2" max="2" width="12.8984375" style="4" customWidth="1"/>
    <col min="3" max="4" width="12.8984375" style="4" hidden="1" customWidth="1"/>
    <col min="5" max="5" width="12.8984375" style="4" customWidth="1"/>
    <col min="6" max="6" width="38.8984375" style="70" customWidth="1"/>
    <col min="7" max="7" width="27.69921875" style="2" customWidth="1"/>
    <col min="8" max="12" width="3.3984375" style="2" customWidth="1"/>
    <col min="13" max="16384" width="11" style="2"/>
  </cols>
  <sheetData>
    <row r="1" spans="1:8" ht="14.25" customHeight="1" x14ac:dyDescent="0.25">
      <c r="A1" s="237" t="s">
        <v>6</v>
      </c>
      <c r="B1" s="238"/>
      <c r="C1" s="238"/>
      <c r="D1" s="238"/>
      <c r="E1" s="238"/>
      <c r="F1" s="238"/>
      <c r="G1" s="239"/>
    </row>
    <row r="2" spans="1:8" ht="14.25" customHeight="1" x14ac:dyDescent="0.25">
      <c r="A2" s="242" t="s">
        <v>2</v>
      </c>
      <c r="B2" s="236" t="s">
        <v>3</v>
      </c>
      <c r="C2" s="236" t="s">
        <v>7</v>
      </c>
      <c r="D2" s="236" t="s">
        <v>8</v>
      </c>
      <c r="E2" s="236" t="s">
        <v>4</v>
      </c>
      <c r="F2" s="235" t="s">
        <v>9</v>
      </c>
      <c r="G2" s="241" t="s">
        <v>10</v>
      </c>
      <c r="H2" s="2" t="s">
        <v>11</v>
      </c>
    </row>
    <row r="3" spans="1:8" ht="13.8" x14ac:dyDescent="0.25">
      <c r="A3" s="242"/>
      <c r="B3" s="236"/>
      <c r="C3" s="236"/>
      <c r="D3" s="236"/>
      <c r="E3" s="236"/>
      <c r="F3" s="235"/>
      <c r="G3" s="241"/>
    </row>
    <row r="4" spans="1:8" s="27" customFormat="1" ht="140.4" x14ac:dyDescent="0.25">
      <c r="A4" s="240">
        <v>1</v>
      </c>
      <c r="B4" s="28">
        <v>44956</v>
      </c>
      <c r="C4" s="28"/>
      <c r="D4" s="28"/>
      <c r="E4" s="33">
        <v>4</v>
      </c>
      <c r="F4" s="41" t="s">
        <v>12</v>
      </c>
      <c r="G4" s="31"/>
      <c r="H4" s="27" t="s">
        <v>11</v>
      </c>
    </row>
    <row r="5" spans="1:8" s="27" customFormat="1" ht="15.6" x14ac:dyDescent="0.25">
      <c r="A5" s="240"/>
      <c r="B5" s="28">
        <v>44957</v>
      </c>
      <c r="C5" s="28"/>
      <c r="D5" s="28"/>
      <c r="E5" s="33">
        <v>2</v>
      </c>
      <c r="F5" s="41" t="s">
        <v>13</v>
      </c>
      <c r="G5" s="31"/>
      <c r="H5" s="27" t="s">
        <v>11</v>
      </c>
    </row>
    <row r="6" spans="1:8" s="27" customFormat="1" ht="15.6" x14ac:dyDescent="0.25">
      <c r="A6" s="240"/>
      <c r="B6" s="28">
        <v>44958</v>
      </c>
      <c r="C6" s="28"/>
      <c r="D6" s="28"/>
      <c r="E6" s="33">
        <v>1.5</v>
      </c>
      <c r="F6" s="41" t="s">
        <v>14</v>
      </c>
      <c r="G6" s="31"/>
      <c r="H6" s="27" t="s">
        <v>11</v>
      </c>
    </row>
    <row r="7" spans="1:8" s="27" customFormat="1" ht="46.8" x14ac:dyDescent="0.25">
      <c r="A7" s="240"/>
      <c r="B7" s="28">
        <v>44959</v>
      </c>
      <c r="C7" s="28"/>
      <c r="D7" s="28"/>
      <c r="E7" s="33">
        <v>4.5</v>
      </c>
      <c r="F7" s="41" t="s">
        <v>15</v>
      </c>
      <c r="G7" s="31"/>
      <c r="H7" s="27" t="s">
        <v>11</v>
      </c>
    </row>
    <row r="8" spans="1:8" s="27" customFormat="1" ht="156" x14ac:dyDescent="0.25">
      <c r="A8" s="240"/>
      <c r="B8" s="28">
        <v>44960</v>
      </c>
      <c r="C8" s="28"/>
      <c r="D8" s="28"/>
      <c r="E8" s="33">
        <v>4.25</v>
      </c>
      <c r="F8" s="41" t="s">
        <v>16</v>
      </c>
      <c r="G8" s="31"/>
      <c r="H8" s="27" t="s">
        <v>11</v>
      </c>
    </row>
    <row r="9" spans="1:8" s="27" customFormat="1" ht="15.6" x14ac:dyDescent="0.25">
      <c r="A9" s="240"/>
      <c r="B9" s="28">
        <v>44961</v>
      </c>
      <c r="C9" s="28"/>
      <c r="D9" s="28"/>
      <c r="E9" s="33">
        <v>0</v>
      </c>
      <c r="F9" s="41"/>
      <c r="G9" s="31"/>
    </row>
    <row r="10" spans="1:8" s="27" customFormat="1" ht="15.6" x14ac:dyDescent="0.25">
      <c r="A10" s="240"/>
      <c r="B10" s="28">
        <v>44962</v>
      </c>
      <c r="C10" s="28"/>
      <c r="D10" s="28"/>
      <c r="E10" s="33">
        <v>0</v>
      </c>
      <c r="F10" s="41"/>
      <c r="G10" s="31"/>
    </row>
    <row r="11" spans="1:8" s="27" customFormat="1" ht="15.6" x14ac:dyDescent="0.25">
      <c r="A11" s="240">
        <v>2</v>
      </c>
      <c r="B11" s="28">
        <v>44963</v>
      </c>
      <c r="C11" s="28"/>
      <c r="D11" s="28"/>
      <c r="E11" s="33">
        <v>0</v>
      </c>
      <c r="F11" s="41"/>
      <c r="G11" s="69"/>
    </row>
    <row r="12" spans="1:8" s="27" customFormat="1" ht="92.25" customHeight="1" x14ac:dyDescent="0.25">
      <c r="A12" s="240"/>
      <c r="B12" s="28">
        <v>44964</v>
      </c>
      <c r="C12" s="28"/>
      <c r="D12" s="28"/>
      <c r="E12" s="33">
        <v>4</v>
      </c>
      <c r="F12" s="41" t="s">
        <v>17</v>
      </c>
      <c r="G12" s="80" t="s">
        <v>18</v>
      </c>
      <c r="H12" s="27" t="s">
        <v>11</v>
      </c>
    </row>
    <row r="13" spans="1:8" s="27" customFormat="1" ht="15.6" customHeight="1" x14ac:dyDescent="0.25">
      <c r="A13" s="240"/>
      <c r="B13" s="28">
        <v>44965</v>
      </c>
      <c r="C13" s="28"/>
      <c r="D13" s="28"/>
      <c r="E13" s="33">
        <v>4.5</v>
      </c>
      <c r="F13" s="41" t="s">
        <v>19</v>
      </c>
      <c r="G13" s="31"/>
      <c r="H13" s="27" t="s">
        <v>11</v>
      </c>
    </row>
    <row r="14" spans="1:8" s="27" customFormat="1" ht="15.6" customHeight="1" x14ac:dyDescent="0.25">
      <c r="A14" s="240"/>
      <c r="B14" s="28">
        <v>44966</v>
      </c>
      <c r="C14" s="28"/>
      <c r="D14" s="28"/>
      <c r="E14" s="33">
        <v>2</v>
      </c>
      <c r="F14" s="41" t="s">
        <v>20</v>
      </c>
      <c r="G14" s="31"/>
      <c r="H14" s="27" t="s">
        <v>11</v>
      </c>
    </row>
    <row r="15" spans="1:8" s="27" customFormat="1" ht="93.6" x14ac:dyDescent="0.25">
      <c r="A15" s="240"/>
      <c r="B15" s="28">
        <v>44967</v>
      </c>
      <c r="C15" s="28"/>
      <c r="D15" s="28"/>
      <c r="E15" s="33">
        <v>4</v>
      </c>
      <c r="F15" s="41" t="s">
        <v>21</v>
      </c>
      <c r="G15" s="31"/>
      <c r="H15" s="27" t="s">
        <v>11</v>
      </c>
    </row>
    <row r="16" spans="1:8" s="27" customFormat="1" ht="15.6" x14ac:dyDescent="0.25">
      <c r="A16" s="240"/>
      <c r="B16" s="28">
        <v>44968</v>
      </c>
      <c r="C16" s="28"/>
      <c r="D16" s="28"/>
      <c r="E16" s="33">
        <v>0</v>
      </c>
      <c r="F16" s="41"/>
      <c r="G16" s="31"/>
    </row>
    <row r="17" spans="1:8" s="27" customFormat="1" ht="15.6" x14ac:dyDescent="0.25">
      <c r="A17" s="240"/>
      <c r="B17" s="28">
        <v>44969</v>
      </c>
      <c r="C17" s="28"/>
      <c r="D17" s="28"/>
      <c r="E17" s="33">
        <v>1</v>
      </c>
      <c r="F17" s="41" t="s">
        <v>22</v>
      </c>
      <c r="G17" s="31"/>
      <c r="H17" s="27" t="s">
        <v>11</v>
      </c>
    </row>
    <row r="18" spans="1:8" s="27" customFormat="1" ht="140.4" x14ac:dyDescent="0.25">
      <c r="A18" s="240">
        <v>3</v>
      </c>
      <c r="B18" s="28">
        <v>44970</v>
      </c>
      <c r="C18" s="28"/>
      <c r="D18" s="28"/>
      <c r="E18" s="33">
        <v>6</v>
      </c>
      <c r="F18" s="41" t="s">
        <v>23</v>
      </c>
      <c r="G18" s="31"/>
      <c r="H18" s="27" t="s">
        <v>11</v>
      </c>
    </row>
    <row r="19" spans="1:8" s="27" customFormat="1" ht="62.4" x14ac:dyDescent="0.25">
      <c r="A19" s="240"/>
      <c r="B19" s="28">
        <v>44971</v>
      </c>
      <c r="C19" s="28"/>
      <c r="D19" s="28"/>
      <c r="E19" s="33">
        <v>2.5</v>
      </c>
      <c r="F19" s="41" t="s">
        <v>24</v>
      </c>
      <c r="G19" s="31"/>
      <c r="H19" s="27" t="s">
        <v>11</v>
      </c>
    </row>
    <row r="20" spans="1:8" s="27" customFormat="1" ht="93.6" x14ac:dyDescent="0.25">
      <c r="A20" s="240"/>
      <c r="B20" s="28">
        <v>44972</v>
      </c>
      <c r="C20" s="28"/>
      <c r="D20" s="28"/>
      <c r="E20" s="33">
        <v>7</v>
      </c>
      <c r="F20" s="41" t="s">
        <v>25</v>
      </c>
      <c r="G20" s="31"/>
      <c r="H20" s="27" t="s">
        <v>11</v>
      </c>
    </row>
    <row r="21" spans="1:8" s="27" customFormat="1" ht="78" x14ac:dyDescent="0.25">
      <c r="A21" s="240"/>
      <c r="B21" s="28">
        <v>44973</v>
      </c>
      <c r="C21" s="28"/>
      <c r="D21" s="28"/>
      <c r="E21" s="33">
        <v>3</v>
      </c>
      <c r="F21" s="41" t="s">
        <v>26</v>
      </c>
      <c r="G21" s="31"/>
      <c r="H21" s="27" t="s">
        <v>11</v>
      </c>
    </row>
    <row r="22" spans="1:8" s="27" customFormat="1" ht="93.6" x14ac:dyDescent="0.25">
      <c r="A22" s="240"/>
      <c r="B22" s="28">
        <v>44974</v>
      </c>
      <c r="C22" s="28"/>
      <c r="D22" s="28"/>
      <c r="E22" s="33">
        <v>3</v>
      </c>
      <c r="F22" s="41" t="s">
        <v>27</v>
      </c>
      <c r="G22" s="31"/>
      <c r="H22" s="27" t="s">
        <v>11</v>
      </c>
    </row>
    <row r="23" spans="1:8" s="27" customFormat="1" ht="15.6" x14ac:dyDescent="0.25">
      <c r="A23" s="240"/>
      <c r="B23" s="28">
        <v>44975</v>
      </c>
      <c r="C23" s="28"/>
      <c r="D23" s="28"/>
      <c r="E23" s="33">
        <v>0</v>
      </c>
      <c r="F23" s="41"/>
      <c r="G23" s="31"/>
    </row>
    <row r="24" spans="1:8" s="27" customFormat="1" ht="15.6" x14ac:dyDescent="0.25">
      <c r="A24" s="240"/>
      <c r="B24" s="28">
        <v>44976</v>
      </c>
      <c r="C24" s="28"/>
      <c r="D24" s="28"/>
      <c r="E24" s="33">
        <v>3</v>
      </c>
      <c r="F24" s="41" t="s">
        <v>28</v>
      </c>
      <c r="G24" s="31"/>
      <c r="H24" s="27" t="s">
        <v>11</v>
      </c>
    </row>
    <row r="25" spans="1:8" s="27" customFormat="1" ht="62.4" x14ac:dyDescent="0.25">
      <c r="A25" s="240">
        <v>4</v>
      </c>
      <c r="B25" s="28">
        <v>44977</v>
      </c>
      <c r="C25" s="28"/>
      <c r="D25" s="28"/>
      <c r="E25" s="33">
        <v>4.5</v>
      </c>
      <c r="F25" s="41" t="s">
        <v>29</v>
      </c>
      <c r="G25" s="31"/>
      <c r="H25" s="27" t="s">
        <v>11</v>
      </c>
    </row>
    <row r="26" spans="1:8" s="27" customFormat="1" ht="78" x14ac:dyDescent="0.25">
      <c r="A26" s="240"/>
      <c r="B26" s="28">
        <v>44978</v>
      </c>
      <c r="C26" s="28"/>
      <c r="D26" s="28"/>
      <c r="E26" s="33">
        <v>4.5</v>
      </c>
      <c r="F26" s="41" t="s">
        <v>30</v>
      </c>
      <c r="G26" s="31"/>
      <c r="H26" s="27" t="s">
        <v>11</v>
      </c>
    </row>
    <row r="27" spans="1:8" s="27" customFormat="1" ht="78" x14ac:dyDescent="0.25">
      <c r="A27" s="240"/>
      <c r="B27" s="28">
        <v>44979</v>
      </c>
      <c r="C27" s="28"/>
      <c r="D27" s="28"/>
      <c r="E27" s="33">
        <v>6.5</v>
      </c>
      <c r="F27" s="41" t="s">
        <v>31</v>
      </c>
      <c r="G27" s="31"/>
    </row>
    <row r="28" spans="1:8" s="27" customFormat="1" ht="78" x14ac:dyDescent="0.25">
      <c r="A28" s="240"/>
      <c r="B28" s="28">
        <v>44980</v>
      </c>
      <c r="C28" s="28"/>
      <c r="D28" s="28"/>
      <c r="E28" s="33">
        <v>5</v>
      </c>
      <c r="F28" s="41" t="s">
        <v>32</v>
      </c>
      <c r="G28" s="31"/>
    </row>
    <row r="29" spans="1:8" s="27" customFormat="1" ht="109.2" x14ac:dyDescent="0.25">
      <c r="A29" s="240"/>
      <c r="B29" s="28">
        <v>44981</v>
      </c>
      <c r="C29" s="28"/>
      <c r="D29" s="28"/>
      <c r="E29" s="33">
        <v>4</v>
      </c>
      <c r="F29" s="41" t="s">
        <v>33</v>
      </c>
      <c r="G29" s="31"/>
    </row>
    <row r="30" spans="1:8" s="27" customFormat="1" ht="15.6" x14ac:dyDescent="0.25">
      <c r="A30" s="240"/>
      <c r="B30" s="28">
        <v>44982</v>
      </c>
      <c r="C30" s="28"/>
      <c r="D30" s="28"/>
      <c r="E30" s="33">
        <v>0</v>
      </c>
      <c r="F30" s="41"/>
      <c r="G30" s="31"/>
    </row>
    <row r="31" spans="1:8" s="27" customFormat="1" ht="15.6" x14ac:dyDescent="0.25">
      <c r="A31" s="240"/>
      <c r="B31" s="28">
        <v>44983</v>
      </c>
      <c r="C31" s="28"/>
      <c r="D31" s="28"/>
      <c r="E31" s="33">
        <v>0</v>
      </c>
      <c r="F31" s="41"/>
      <c r="G31" s="31"/>
    </row>
    <row r="32" spans="1:8" s="27" customFormat="1" ht="109.2" x14ac:dyDescent="0.25">
      <c r="A32" s="240">
        <v>5</v>
      </c>
      <c r="B32" s="28">
        <v>44984</v>
      </c>
      <c r="C32" s="28"/>
      <c r="D32" s="28"/>
      <c r="E32" s="33">
        <v>5.5</v>
      </c>
      <c r="F32" s="41" t="s">
        <v>34</v>
      </c>
      <c r="G32" s="31"/>
    </row>
    <row r="33" spans="1:7" s="27" customFormat="1" ht="62.4" x14ac:dyDescent="0.25">
      <c r="A33" s="240"/>
      <c r="B33" s="28">
        <v>44985</v>
      </c>
      <c r="C33" s="28"/>
      <c r="D33" s="28"/>
      <c r="E33" s="33">
        <v>5</v>
      </c>
      <c r="F33" s="41" t="s">
        <v>35</v>
      </c>
      <c r="G33" s="31"/>
    </row>
    <row r="34" spans="1:7" s="27" customFormat="1" ht="62.4" x14ac:dyDescent="0.25">
      <c r="A34" s="240"/>
      <c r="B34" s="28">
        <v>44986</v>
      </c>
      <c r="C34" s="28"/>
      <c r="D34" s="28"/>
      <c r="E34" s="33">
        <v>2.5</v>
      </c>
      <c r="F34" s="41" t="s">
        <v>36</v>
      </c>
      <c r="G34" s="31"/>
    </row>
    <row r="35" spans="1:7" s="27" customFormat="1" ht="62.4" x14ac:dyDescent="0.25">
      <c r="A35" s="240"/>
      <c r="B35" s="28">
        <v>44987</v>
      </c>
      <c r="C35" s="28"/>
      <c r="D35" s="28"/>
      <c r="E35" s="33">
        <v>2.5</v>
      </c>
      <c r="F35" s="41" t="s">
        <v>37</v>
      </c>
      <c r="G35" s="31"/>
    </row>
    <row r="36" spans="1:7" s="27" customFormat="1" ht="78" x14ac:dyDescent="0.25">
      <c r="A36" s="240"/>
      <c r="B36" s="28">
        <v>44988</v>
      </c>
      <c r="C36" s="28"/>
      <c r="D36" s="28"/>
      <c r="E36" s="33">
        <v>2</v>
      </c>
      <c r="F36" s="41" t="s">
        <v>38</v>
      </c>
      <c r="G36" s="31"/>
    </row>
    <row r="37" spans="1:7" s="27" customFormat="1" ht="15.6" x14ac:dyDescent="0.25">
      <c r="A37" s="240"/>
      <c r="B37" s="28">
        <v>44989</v>
      </c>
      <c r="C37" s="28"/>
      <c r="D37" s="28"/>
      <c r="E37" s="33">
        <v>0</v>
      </c>
      <c r="F37" s="41"/>
      <c r="G37" s="31"/>
    </row>
    <row r="38" spans="1:7" s="27" customFormat="1" ht="15.6" x14ac:dyDescent="0.25">
      <c r="A38" s="240"/>
      <c r="B38" s="28">
        <v>44990</v>
      </c>
      <c r="C38" s="28"/>
      <c r="D38" s="28"/>
      <c r="E38" s="33">
        <v>0</v>
      </c>
      <c r="F38" s="41"/>
      <c r="G38" s="31"/>
    </row>
    <row r="39" spans="1:7" s="27" customFormat="1" ht="78" x14ac:dyDescent="0.25">
      <c r="A39" s="240">
        <v>6</v>
      </c>
      <c r="B39" s="28">
        <v>44991</v>
      </c>
      <c r="C39" s="28"/>
      <c r="D39" s="28"/>
      <c r="E39" s="33">
        <v>5.5</v>
      </c>
      <c r="F39" s="41" t="s">
        <v>39</v>
      </c>
      <c r="G39" s="31"/>
    </row>
    <row r="40" spans="1:7" s="27" customFormat="1" ht="31.2" x14ac:dyDescent="0.25">
      <c r="A40" s="240"/>
      <c r="B40" s="28">
        <v>44992</v>
      </c>
      <c r="C40" s="28"/>
      <c r="D40" s="28"/>
      <c r="E40" s="33">
        <v>3</v>
      </c>
      <c r="F40" s="41" t="s">
        <v>40</v>
      </c>
      <c r="G40" s="31"/>
    </row>
    <row r="41" spans="1:7" s="27" customFormat="1" ht="31.2" x14ac:dyDescent="0.25">
      <c r="A41" s="240"/>
      <c r="B41" s="28">
        <v>44993</v>
      </c>
      <c r="C41" s="28"/>
      <c r="D41" s="28"/>
      <c r="E41" s="33">
        <v>3</v>
      </c>
      <c r="F41" s="41" t="s">
        <v>40</v>
      </c>
      <c r="G41" s="31"/>
    </row>
    <row r="42" spans="1:7" s="27" customFormat="1" ht="62.4" x14ac:dyDescent="0.25">
      <c r="A42" s="240"/>
      <c r="B42" s="28">
        <v>44994</v>
      </c>
      <c r="C42" s="28"/>
      <c r="D42" s="28"/>
      <c r="E42" s="33">
        <v>3.5</v>
      </c>
      <c r="F42" s="41" t="s">
        <v>41</v>
      </c>
      <c r="G42" s="31"/>
    </row>
    <row r="43" spans="1:7" s="27" customFormat="1" ht="78" x14ac:dyDescent="0.25">
      <c r="A43" s="240"/>
      <c r="B43" s="28">
        <v>44995</v>
      </c>
      <c r="C43" s="28"/>
      <c r="D43" s="28"/>
      <c r="E43" s="33">
        <v>2.5</v>
      </c>
      <c r="F43" s="41" t="s">
        <v>42</v>
      </c>
      <c r="G43" s="31"/>
    </row>
    <row r="44" spans="1:7" s="27" customFormat="1" ht="15.6" x14ac:dyDescent="0.25">
      <c r="A44" s="240"/>
      <c r="B44" s="28">
        <v>44996</v>
      </c>
      <c r="C44" s="28"/>
      <c r="D44" s="28"/>
      <c r="E44" s="33">
        <v>0</v>
      </c>
      <c r="F44" s="41"/>
      <c r="G44" s="31"/>
    </row>
    <row r="45" spans="1:7" s="27" customFormat="1" ht="15.6" x14ac:dyDescent="0.25">
      <c r="A45" s="240"/>
      <c r="B45" s="28">
        <v>44997</v>
      </c>
      <c r="C45" s="28"/>
      <c r="D45" s="28"/>
      <c r="E45" s="33">
        <v>2</v>
      </c>
      <c r="F45" s="41" t="s">
        <v>43</v>
      </c>
      <c r="G45" s="31"/>
    </row>
    <row r="46" spans="1:7" s="27" customFormat="1" ht="62.4" x14ac:dyDescent="0.25">
      <c r="A46" s="240">
        <v>7</v>
      </c>
      <c r="B46" s="28">
        <v>44998</v>
      </c>
      <c r="C46" s="28"/>
      <c r="D46" s="28"/>
      <c r="E46" s="33">
        <v>2</v>
      </c>
      <c r="F46" s="41" t="s">
        <v>44</v>
      </c>
      <c r="G46" s="31"/>
    </row>
    <row r="47" spans="1:7" s="27" customFormat="1" ht="46.8" x14ac:dyDescent="0.25">
      <c r="A47" s="240"/>
      <c r="B47" s="28">
        <v>44999</v>
      </c>
      <c r="C47" s="28"/>
      <c r="D47" s="28"/>
      <c r="E47" s="33">
        <v>3.5</v>
      </c>
      <c r="F47" s="41" t="s">
        <v>45</v>
      </c>
      <c r="G47" s="31"/>
    </row>
    <row r="48" spans="1:7" s="27" customFormat="1" ht="62.4" x14ac:dyDescent="0.25">
      <c r="A48" s="240"/>
      <c r="B48" s="28">
        <v>45000</v>
      </c>
      <c r="C48" s="28"/>
      <c r="D48" s="28"/>
      <c r="E48" s="33">
        <v>3.5</v>
      </c>
      <c r="F48" s="41" t="s">
        <v>46</v>
      </c>
      <c r="G48" s="31"/>
    </row>
    <row r="49" spans="1:8" s="27" customFormat="1" ht="78" x14ac:dyDescent="0.25">
      <c r="A49" s="240"/>
      <c r="B49" s="28">
        <v>45001</v>
      </c>
      <c r="C49" s="28"/>
      <c r="D49" s="28"/>
      <c r="E49" s="33">
        <v>4.5</v>
      </c>
      <c r="F49" s="41" t="s">
        <v>47</v>
      </c>
      <c r="G49" s="31"/>
    </row>
    <row r="50" spans="1:8" s="27" customFormat="1" ht="78" x14ac:dyDescent="0.25">
      <c r="A50" s="240"/>
      <c r="B50" s="28">
        <v>45002</v>
      </c>
      <c r="C50" s="28"/>
      <c r="D50" s="28"/>
      <c r="E50" s="33">
        <v>5.5</v>
      </c>
      <c r="F50" s="41" t="s">
        <v>48</v>
      </c>
      <c r="G50" s="31"/>
    </row>
    <row r="51" spans="1:8" s="27" customFormat="1" ht="15.6" x14ac:dyDescent="0.25">
      <c r="A51" s="240"/>
      <c r="B51" s="28">
        <v>45003</v>
      </c>
      <c r="C51" s="28"/>
      <c r="D51" s="28"/>
      <c r="E51" s="33">
        <v>0</v>
      </c>
      <c r="F51" s="41"/>
      <c r="G51" s="31"/>
    </row>
    <row r="52" spans="1:8" s="27" customFormat="1" ht="15.6" x14ac:dyDescent="0.25">
      <c r="A52" s="240"/>
      <c r="B52" s="28">
        <v>45004</v>
      </c>
      <c r="C52" s="28"/>
      <c r="D52" s="28"/>
      <c r="E52" s="33">
        <v>0</v>
      </c>
      <c r="F52" s="41"/>
      <c r="G52" s="31"/>
    </row>
    <row r="53" spans="1:8" s="27" customFormat="1" ht="93.6" x14ac:dyDescent="0.25">
      <c r="A53" s="240">
        <v>8</v>
      </c>
      <c r="B53" s="28">
        <v>45005</v>
      </c>
      <c r="C53" s="28"/>
      <c r="D53" s="28"/>
      <c r="E53" s="33">
        <v>6</v>
      </c>
      <c r="F53" s="41" t="s">
        <v>49</v>
      </c>
      <c r="G53" s="31"/>
    </row>
    <row r="54" spans="1:8" s="27" customFormat="1" ht="78" x14ac:dyDescent="0.25">
      <c r="A54" s="240"/>
      <c r="B54" s="28">
        <v>45006</v>
      </c>
      <c r="C54" s="28"/>
      <c r="D54" s="28"/>
      <c r="E54" s="33">
        <v>5</v>
      </c>
      <c r="F54" s="41" t="s">
        <v>50</v>
      </c>
      <c r="G54" s="31"/>
    </row>
    <row r="55" spans="1:8" s="27" customFormat="1" ht="93.6" x14ac:dyDescent="0.25">
      <c r="A55" s="240"/>
      <c r="B55" s="28">
        <v>45007</v>
      </c>
      <c r="C55" s="28"/>
      <c r="D55" s="28"/>
      <c r="E55" s="33">
        <v>6</v>
      </c>
      <c r="F55" s="41" t="s">
        <v>51</v>
      </c>
      <c r="G55" s="31" t="s">
        <v>52</v>
      </c>
    </row>
    <row r="56" spans="1:8" s="27" customFormat="1" ht="140.4" x14ac:dyDescent="0.25">
      <c r="A56" s="240"/>
      <c r="B56" s="28">
        <v>45008</v>
      </c>
      <c r="C56" s="28"/>
      <c r="D56" s="28"/>
      <c r="E56" s="33">
        <v>4</v>
      </c>
      <c r="F56" s="41" t="s">
        <v>53</v>
      </c>
      <c r="G56" s="31"/>
    </row>
    <row r="57" spans="1:8" s="27" customFormat="1" ht="31.2" x14ac:dyDescent="0.25">
      <c r="A57" s="240"/>
      <c r="B57" s="28">
        <v>45009</v>
      </c>
      <c r="C57" s="28"/>
      <c r="D57" s="28"/>
      <c r="E57" s="33">
        <v>1.5</v>
      </c>
      <c r="F57" s="41" t="s">
        <v>54</v>
      </c>
      <c r="G57" s="31"/>
    </row>
    <row r="58" spans="1:8" s="27" customFormat="1" ht="15.6" x14ac:dyDescent="0.25">
      <c r="A58" s="240"/>
      <c r="B58" s="28">
        <v>45010</v>
      </c>
      <c r="C58" s="28"/>
      <c r="D58" s="28"/>
      <c r="E58" s="33">
        <v>0</v>
      </c>
      <c r="F58" s="41"/>
      <c r="G58" s="31"/>
    </row>
    <row r="59" spans="1:8" s="27" customFormat="1" ht="15.6" x14ac:dyDescent="0.25">
      <c r="A59" s="240"/>
      <c r="B59" s="28">
        <v>45011</v>
      </c>
      <c r="C59" s="28"/>
      <c r="D59" s="28"/>
      <c r="E59" s="33">
        <v>0</v>
      </c>
      <c r="F59" s="41"/>
      <c r="G59" s="31"/>
    </row>
    <row r="60" spans="1:8" s="27" customFormat="1" ht="46.8" x14ac:dyDescent="0.25">
      <c r="A60" s="240">
        <v>9</v>
      </c>
      <c r="B60" s="28">
        <v>45012</v>
      </c>
      <c r="C60" s="28"/>
      <c r="D60" s="28"/>
      <c r="E60" s="33">
        <v>5</v>
      </c>
      <c r="F60" s="41" t="s">
        <v>55</v>
      </c>
      <c r="G60" s="31"/>
      <c r="H60" s="27" t="s">
        <v>56</v>
      </c>
    </row>
    <row r="61" spans="1:8" s="27" customFormat="1" ht="31.2" x14ac:dyDescent="0.25">
      <c r="A61" s="240"/>
      <c r="B61" s="28">
        <v>45013</v>
      </c>
      <c r="C61" s="28"/>
      <c r="D61" s="28"/>
      <c r="E61" s="33">
        <v>4</v>
      </c>
      <c r="F61" s="41" t="s">
        <v>57</v>
      </c>
      <c r="G61" s="31"/>
      <c r="H61" s="27" t="s">
        <v>58</v>
      </c>
    </row>
    <row r="62" spans="1:8" s="27" customFormat="1" ht="15.6" x14ac:dyDescent="0.25">
      <c r="A62" s="240"/>
      <c r="B62" s="28">
        <v>45014</v>
      </c>
      <c r="C62" s="28"/>
      <c r="D62" s="28"/>
      <c r="E62" s="33">
        <v>4.5</v>
      </c>
      <c r="F62" s="41" t="s">
        <v>59</v>
      </c>
      <c r="G62" s="31"/>
    </row>
    <row r="63" spans="1:8" s="27" customFormat="1" ht="31.2" x14ac:dyDescent="0.25">
      <c r="A63" s="240"/>
      <c r="B63" s="28">
        <v>45015</v>
      </c>
      <c r="C63" s="28"/>
      <c r="D63" s="28"/>
      <c r="E63" s="33">
        <v>3</v>
      </c>
      <c r="F63" s="41" t="s">
        <v>60</v>
      </c>
      <c r="G63" s="31"/>
    </row>
    <row r="64" spans="1:8" s="27" customFormat="1" ht="15.6" x14ac:dyDescent="0.25">
      <c r="A64" s="240"/>
      <c r="B64" s="28">
        <v>45016</v>
      </c>
      <c r="C64" s="28"/>
      <c r="D64" s="28"/>
      <c r="E64" s="33">
        <v>3</v>
      </c>
      <c r="F64" s="41" t="s">
        <v>61</v>
      </c>
      <c r="G64" s="31"/>
    </row>
    <row r="65" spans="1:7" s="27" customFormat="1" ht="15.6" x14ac:dyDescent="0.25">
      <c r="A65" s="240"/>
      <c r="B65" s="28">
        <v>45017</v>
      </c>
      <c r="C65" s="28"/>
      <c r="D65" s="28"/>
      <c r="E65" s="33">
        <v>0</v>
      </c>
      <c r="F65" s="41"/>
      <c r="G65" s="31"/>
    </row>
    <row r="66" spans="1:7" s="27" customFormat="1" ht="15.6" x14ac:dyDescent="0.25">
      <c r="A66" s="240"/>
      <c r="B66" s="28">
        <v>45018</v>
      </c>
      <c r="C66" s="28"/>
      <c r="D66" s="28"/>
      <c r="E66" s="33">
        <v>0</v>
      </c>
      <c r="F66" s="41"/>
      <c r="G66" s="31"/>
    </row>
    <row r="67" spans="1:7" s="27" customFormat="1" ht="15.6" x14ac:dyDescent="0.25">
      <c r="A67" s="240">
        <v>10</v>
      </c>
      <c r="B67" s="28">
        <v>45019</v>
      </c>
      <c r="C67" s="28"/>
      <c r="D67" s="28"/>
      <c r="E67" s="33">
        <v>3</v>
      </c>
      <c r="F67" s="41" t="s">
        <v>62</v>
      </c>
      <c r="G67" s="31"/>
    </row>
    <row r="68" spans="1:7" s="27" customFormat="1" ht="15.6" x14ac:dyDescent="0.25">
      <c r="A68" s="240"/>
      <c r="B68" s="28">
        <v>45020</v>
      </c>
      <c r="C68" s="28"/>
      <c r="D68" s="28"/>
      <c r="E68" s="33">
        <v>3</v>
      </c>
      <c r="F68" s="41" t="s">
        <v>63</v>
      </c>
      <c r="G68" s="31"/>
    </row>
    <row r="69" spans="1:7" s="27" customFormat="1" ht="15.6" x14ac:dyDescent="0.25">
      <c r="A69" s="240"/>
      <c r="B69" s="28">
        <v>45021</v>
      </c>
      <c r="C69" s="28"/>
      <c r="D69" s="28"/>
      <c r="E69" s="33">
        <v>0</v>
      </c>
      <c r="F69" s="41"/>
      <c r="G69" s="31"/>
    </row>
    <row r="70" spans="1:7" s="27" customFormat="1" ht="15.6" x14ac:dyDescent="0.25">
      <c r="A70" s="240"/>
      <c r="B70" s="28">
        <v>45022</v>
      </c>
      <c r="C70" s="28"/>
      <c r="D70" s="28"/>
      <c r="E70" s="33">
        <v>0</v>
      </c>
      <c r="F70" s="41"/>
      <c r="G70" s="31"/>
    </row>
    <row r="71" spans="1:7" s="27" customFormat="1" ht="15.6" x14ac:dyDescent="0.25">
      <c r="A71" s="240"/>
      <c r="B71" s="28">
        <v>45023</v>
      </c>
      <c r="C71" s="28"/>
      <c r="D71" s="28"/>
      <c r="E71" s="33">
        <v>0</v>
      </c>
      <c r="F71" s="41"/>
      <c r="G71" s="31"/>
    </row>
    <row r="72" spans="1:7" s="27" customFormat="1" ht="15.6" x14ac:dyDescent="0.25">
      <c r="A72" s="240"/>
      <c r="B72" s="28">
        <v>45024</v>
      </c>
      <c r="C72" s="28"/>
      <c r="D72" s="28"/>
      <c r="E72" s="33">
        <v>0</v>
      </c>
      <c r="F72" s="41"/>
      <c r="G72" s="31"/>
    </row>
    <row r="73" spans="1:7" s="27" customFormat="1" ht="15.6" x14ac:dyDescent="0.25">
      <c r="A73" s="240"/>
      <c r="B73" s="28">
        <v>45025</v>
      </c>
      <c r="C73" s="28"/>
      <c r="D73" s="28"/>
      <c r="E73" s="33">
        <v>0</v>
      </c>
      <c r="F73" s="41"/>
      <c r="G73" s="31"/>
    </row>
    <row r="74" spans="1:7" s="27" customFormat="1" ht="15.6" x14ac:dyDescent="0.25">
      <c r="A74" s="240">
        <v>11</v>
      </c>
      <c r="B74" s="28">
        <v>45026</v>
      </c>
      <c r="C74" s="28"/>
      <c r="D74" s="28"/>
      <c r="E74" s="33">
        <v>0</v>
      </c>
      <c r="F74" s="41"/>
      <c r="G74" s="31"/>
    </row>
    <row r="75" spans="1:7" s="27" customFormat="1" ht="15.6" x14ac:dyDescent="0.25">
      <c r="A75" s="240"/>
      <c r="B75" s="28">
        <v>45027</v>
      </c>
      <c r="C75" s="28"/>
      <c r="D75" s="28"/>
      <c r="E75" s="33">
        <v>0</v>
      </c>
      <c r="F75" s="41"/>
      <c r="G75" s="31"/>
    </row>
    <row r="76" spans="1:7" s="27" customFormat="1" ht="15.6" x14ac:dyDescent="0.25">
      <c r="A76" s="240"/>
      <c r="B76" s="28">
        <v>45028</v>
      </c>
      <c r="C76" s="28"/>
      <c r="D76" s="28"/>
      <c r="E76" s="33">
        <v>0</v>
      </c>
      <c r="F76" s="41"/>
      <c r="G76" s="31"/>
    </row>
    <row r="77" spans="1:7" s="27" customFormat="1" ht="15.6" x14ac:dyDescent="0.25">
      <c r="A77" s="240"/>
      <c r="B77" s="28">
        <v>45029</v>
      </c>
      <c r="C77" s="28"/>
      <c r="D77" s="28"/>
      <c r="E77" s="33">
        <v>0</v>
      </c>
      <c r="F77" s="41"/>
      <c r="G77" s="31"/>
    </row>
    <row r="78" spans="1:7" s="27" customFormat="1" ht="15.6" x14ac:dyDescent="0.25">
      <c r="A78" s="240"/>
      <c r="B78" s="28">
        <v>45030</v>
      </c>
      <c r="C78" s="28"/>
      <c r="D78" s="28"/>
      <c r="E78" s="33">
        <v>0</v>
      </c>
      <c r="F78" s="41"/>
      <c r="G78" s="31"/>
    </row>
    <row r="79" spans="1:7" s="27" customFormat="1" ht="15.6" x14ac:dyDescent="0.25">
      <c r="A79" s="240"/>
      <c r="B79" s="28">
        <v>45031</v>
      </c>
      <c r="C79" s="28"/>
      <c r="D79" s="28"/>
      <c r="E79" s="33">
        <v>0</v>
      </c>
      <c r="F79" s="41"/>
      <c r="G79" s="31"/>
    </row>
    <row r="80" spans="1:7" s="27" customFormat="1" ht="15.6" x14ac:dyDescent="0.25">
      <c r="A80" s="240"/>
      <c r="B80" s="28">
        <v>45032</v>
      </c>
      <c r="C80" s="28"/>
      <c r="D80" s="28"/>
      <c r="E80" s="33">
        <v>0</v>
      </c>
      <c r="F80" s="41"/>
      <c r="G80" s="31"/>
    </row>
    <row r="81" spans="1:7" s="27" customFormat="1" ht="78" x14ac:dyDescent="0.25">
      <c r="A81" s="240">
        <v>12</v>
      </c>
      <c r="B81" s="28">
        <v>45033</v>
      </c>
      <c r="C81" s="28"/>
      <c r="D81" s="28"/>
      <c r="E81" s="33">
        <v>3.5</v>
      </c>
      <c r="F81" s="41" t="s">
        <v>64</v>
      </c>
      <c r="G81" s="31"/>
    </row>
    <row r="82" spans="1:7" s="27" customFormat="1" ht="93.6" x14ac:dyDescent="0.25">
      <c r="A82" s="240"/>
      <c r="B82" s="28">
        <v>45034</v>
      </c>
      <c r="C82" s="28"/>
      <c r="D82" s="28"/>
      <c r="E82" s="33">
        <v>4</v>
      </c>
      <c r="F82" s="41" t="s">
        <v>65</v>
      </c>
      <c r="G82" s="31"/>
    </row>
    <row r="83" spans="1:7" s="27" customFormat="1" ht="62.4" x14ac:dyDescent="0.25">
      <c r="A83" s="240"/>
      <c r="B83" s="28">
        <v>45035</v>
      </c>
      <c r="C83" s="28"/>
      <c r="D83" s="28"/>
      <c r="E83" s="33">
        <v>4</v>
      </c>
      <c r="F83" s="41" t="s">
        <v>66</v>
      </c>
      <c r="G83" s="31"/>
    </row>
    <row r="84" spans="1:7" s="27" customFormat="1" ht="46.8" x14ac:dyDescent="0.25">
      <c r="A84" s="240"/>
      <c r="B84" s="28">
        <v>45036</v>
      </c>
      <c r="C84" s="28"/>
      <c r="D84" s="28"/>
      <c r="E84" s="33">
        <v>4.5</v>
      </c>
      <c r="F84" s="41" t="s">
        <v>67</v>
      </c>
      <c r="G84" s="31"/>
    </row>
    <row r="85" spans="1:7" s="27" customFormat="1" ht="78" x14ac:dyDescent="0.25">
      <c r="A85" s="240"/>
      <c r="B85" s="28">
        <v>45037</v>
      </c>
      <c r="C85" s="28"/>
      <c r="D85" s="28"/>
      <c r="E85" s="33">
        <v>5</v>
      </c>
      <c r="F85" s="41" t="s">
        <v>68</v>
      </c>
      <c r="G85" s="31"/>
    </row>
    <row r="86" spans="1:7" s="27" customFormat="1" ht="15.6" x14ac:dyDescent="0.25">
      <c r="A86" s="240"/>
      <c r="B86" s="28">
        <v>45038</v>
      </c>
      <c r="C86" s="28"/>
      <c r="D86" s="28"/>
      <c r="E86" s="33">
        <v>0</v>
      </c>
      <c r="F86" s="41"/>
      <c r="G86" s="31"/>
    </row>
    <row r="87" spans="1:7" s="27" customFormat="1" ht="15.6" x14ac:dyDescent="0.25">
      <c r="A87" s="243"/>
      <c r="B87" s="28">
        <v>45039</v>
      </c>
      <c r="C87" s="28"/>
      <c r="D87" s="28"/>
      <c r="E87" s="33">
        <v>0</v>
      </c>
      <c r="F87" s="41"/>
      <c r="G87" s="31"/>
    </row>
    <row r="88" spans="1:7" s="27" customFormat="1" ht="62.4" x14ac:dyDescent="0.25">
      <c r="A88" s="244">
        <v>13</v>
      </c>
      <c r="B88" s="72">
        <v>45040</v>
      </c>
      <c r="C88" s="28"/>
      <c r="D88" s="28"/>
      <c r="E88" s="33">
        <v>4</v>
      </c>
      <c r="F88" s="41" t="s">
        <v>69</v>
      </c>
      <c r="G88" s="31"/>
    </row>
    <row r="89" spans="1:7" s="27" customFormat="1" ht="31.2" x14ac:dyDescent="0.25">
      <c r="A89" s="245"/>
      <c r="B89" s="72">
        <v>45041</v>
      </c>
      <c r="C89" s="28"/>
      <c r="D89" s="28"/>
      <c r="E89" s="33">
        <v>4.5</v>
      </c>
      <c r="F89" s="41" t="s">
        <v>70</v>
      </c>
      <c r="G89" s="31"/>
    </row>
    <row r="90" spans="1:7" s="27" customFormat="1" ht="31.2" x14ac:dyDescent="0.25">
      <c r="A90" s="245"/>
      <c r="B90" s="72">
        <v>45042</v>
      </c>
      <c r="C90" s="28"/>
      <c r="D90" s="28"/>
      <c r="E90" s="33">
        <v>4.5</v>
      </c>
      <c r="F90" s="41" t="s">
        <v>71</v>
      </c>
      <c r="G90" s="31"/>
    </row>
    <row r="91" spans="1:7" s="27" customFormat="1" ht="31.2" x14ac:dyDescent="0.25">
      <c r="A91" s="245"/>
      <c r="B91" s="72">
        <v>45043</v>
      </c>
      <c r="C91" s="28"/>
      <c r="D91" s="28"/>
      <c r="E91" s="33">
        <v>4</v>
      </c>
      <c r="F91" s="41" t="s">
        <v>72</v>
      </c>
      <c r="G91" s="31"/>
    </row>
    <row r="92" spans="1:7" s="27" customFormat="1" ht="31.2" x14ac:dyDescent="0.25">
      <c r="A92" s="245"/>
      <c r="B92" s="72">
        <v>45044</v>
      </c>
      <c r="C92" s="28"/>
      <c r="D92" s="28"/>
      <c r="E92" s="33">
        <v>6</v>
      </c>
      <c r="F92" s="41" t="s">
        <v>73</v>
      </c>
      <c r="G92" s="31"/>
    </row>
    <row r="93" spans="1:7" s="27" customFormat="1" ht="15.6" x14ac:dyDescent="0.25">
      <c r="A93" s="245"/>
      <c r="B93" s="72">
        <v>45045</v>
      </c>
      <c r="C93" s="28"/>
      <c r="D93" s="28"/>
      <c r="E93" s="33">
        <v>0</v>
      </c>
      <c r="F93" s="41"/>
      <c r="G93" s="31"/>
    </row>
    <row r="94" spans="1:7" s="27" customFormat="1" ht="15.6" x14ac:dyDescent="0.25">
      <c r="A94" s="246"/>
      <c r="B94" s="72">
        <v>45046</v>
      </c>
      <c r="C94" s="28"/>
      <c r="D94" s="28"/>
      <c r="E94" s="33">
        <v>0</v>
      </c>
      <c r="F94" s="41"/>
      <c r="G94" s="31"/>
    </row>
    <row r="95" spans="1:7" s="27" customFormat="1" ht="31.2" x14ac:dyDescent="0.25">
      <c r="A95" s="247">
        <v>14</v>
      </c>
      <c r="B95" s="28">
        <v>45047</v>
      </c>
      <c r="C95" s="28"/>
      <c r="D95" s="28"/>
      <c r="E95" s="33">
        <v>3</v>
      </c>
      <c r="F95" s="41" t="s">
        <v>74</v>
      </c>
      <c r="G95" s="31"/>
    </row>
    <row r="96" spans="1:7" s="27" customFormat="1" ht="15.6" x14ac:dyDescent="0.25">
      <c r="A96" s="240"/>
      <c r="B96" s="28">
        <v>45048</v>
      </c>
      <c r="C96" s="28"/>
      <c r="D96" s="28"/>
      <c r="E96" s="33">
        <v>4.5</v>
      </c>
      <c r="F96" s="41" t="s">
        <v>75</v>
      </c>
      <c r="G96" s="31"/>
    </row>
    <row r="97" spans="1:7" s="27" customFormat="1" ht="31.2" x14ac:dyDescent="0.25">
      <c r="A97" s="240"/>
      <c r="B97" s="28">
        <v>45049</v>
      </c>
      <c r="C97" s="28"/>
      <c r="D97" s="28"/>
      <c r="E97" s="33">
        <v>3.5</v>
      </c>
      <c r="F97" s="41" t="s">
        <v>76</v>
      </c>
      <c r="G97" s="31"/>
    </row>
    <row r="98" spans="1:7" s="27" customFormat="1" ht="31.2" x14ac:dyDescent="0.25">
      <c r="A98" s="240"/>
      <c r="B98" s="28">
        <v>45050</v>
      </c>
      <c r="C98" s="28"/>
      <c r="D98" s="28"/>
      <c r="E98" s="33">
        <v>4</v>
      </c>
      <c r="F98" s="41" t="s">
        <v>77</v>
      </c>
      <c r="G98" s="31"/>
    </row>
    <row r="99" spans="1:7" s="27" customFormat="1" ht="15.6" x14ac:dyDescent="0.25">
      <c r="A99" s="240"/>
      <c r="B99" s="28">
        <v>45051</v>
      </c>
      <c r="C99" s="28"/>
      <c r="D99" s="28"/>
      <c r="E99" s="33">
        <v>0</v>
      </c>
      <c r="F99" s="41"/>
      <c r="G99" s="31"/>
    </row>
    <row r="100" spans="1:7" s="27" customFormat="1" ht="15.6" x14ac:dyDescent="0.25">
      <c r="A100" s="240"/>
      <c r="B100" s="28">
        <v>45052</v>
      </c>
      <c r="C100" s="28"/>
      <c r="D100" s="28"/>
      <c r="E100" s="33">
        <v>0</v>
      </c>
      <c r="F100" s="41"/>
      <c r="G100" s="31"/>
    </row>
    <row r="101" spans="1:7" s="27" customFormat="1" ht="15.6" x14ac:dyDescent="0.25">
      <c r="A101" s="240"/>
      <c r="B101" s="28">
        <v>45053</v>
      </c>
      <c r="C101" s="28"/>
      <c r="D101" s="28"/>
      <c r="E101" s="33">
        <v>0</v>
      </c>
      <c r="F101" s="41"/>
      <c r="G101" s="31"/>
    </row>
    <row r="102" spans="1:7" s="27" customFormat="1" ht="31.2" x14ac:dyDescent="0.25">
      <c r="A102" s="240">
        <v>15</v>
      </c>
      <c r="B102" s="28">
        <v>45054</v>
      </c>
      <c r="C102" s="28"/>
      <c r="D102" s="28"/>
      <c r="E102" s="33">
        <v>4</v>
      </c>
      <c r="F102" s="41" t="s">
        <v>78</v>
      </c>
      <c r="G102" s="31"/>
    </row>
    <row r="103" spans="1:7" s="27" customFormat="1" ht="15.6" x14ac:dyDescent="0.25">
      <c r="A103" s="240"/>
      <c r="B103" s="28">
        <v>45055</v>
      </c>
      <c r="C103" s="28"/>
      <c r="D103" s="28"/>
      <c r="E103" s="33">
        <v>4</v>
      </c>
      <c r="F103" s="41" t="s">
        <v>79</v>
      </c>
      <c r="G103" s="31"/>
    </row>
    <row r="104" spans="1:7" s="27" customFormat="1" ht="31.2" x14ac:dyDescent="0.25">
      <c r="A104" s="240"/>
      <c r="B104" s="28">
        <v>45056</v>
      </c>
      <c r="C104" s="28"/>
      <c r="D104" s="28"/>
      <c r="E104" s="33">
        <v>3</v>
      </c>
      <c r="F104" s="41" t="s">
        <v>80</v>
      </c>
      <c r="G104" s="31"/>
    </row>
    <row r="105" spans="1:7" s="27" customFormat="1" ht="15.6" x14ac:dyDescent="0.25">
      <c r="A105" s="240"/>
      <c r="B105" s="28">
        <v>45057</v>
      </c>
      <c r="C105" s="28"/>
      <c r="D105" s="28"/>
      <c r="E105" s="33">
        <v>4</v>
      </c>
      <c r="F105" s="41" t="s">
        <v>81</v>
      </c>
      <c r="G105" s="31"/>
    </row>
    <row r="106" spans="1:7" s="27" customFormat="1" ht="15.6" x14ac:dyDescent="0.25">
      <c r="A106" s="240"/>
      <c r="B106" s="28">
        <v>45058</v>
      </c>
      <c r="C106" s="28"/>
      <c r="D106" s="28"/>
      <c r="E106" s="33">
        <v>3</v>
      </c>
      <c r="F106" s="41" t="s">
        <v>82</v>
      </c>
      <c r="G106" s="31"/>
    </row>
    <row r="107" spans="1:7" s="27" customFormat="1" ht="15.6" x14ac:dyDescent="0.25">
      <c r="A107" s="240"/>
      <c r="B107" s="28">
        <v>45059</v>
      </c>
      <c r="C107" s="28"/>
      <c r="D107" s="28"/>
      <c r="E107" s="33">
        <v>0</v>
      </c>
      <c r="F107" s="41"/>
      <c r="G107" s="31"/>
    </row>
    <row r="108" spans="1:7" s="27" customFormat="1" ht="15.6" x14ac:dyDescent="0.25">
      <c r="A108" s="240"/>
      <c r="B108" s="28">
        <v>45060</v>
      </c>
      <c r="C108" s="28"/>
      <c r="D108" s="28"/>
      <c r="E108" s="33">
        <v>0</v>
      </c>
      <c r="F108" s="41"/>
      <c r="G108" s="31"/>
    </row>
    <row r="109" spans="1:7" s="27" customFormat="1" ht="31.2" x14ac:dyDescent="0.25">
      <c r="A109" s="240">
        <v>16</v>
      </c>
      <c r="B109" s="28">
        <v>45061</v>
      </c>
      <c r="C109" s="28"/>
      <c r="D109" s="28"/>
      <c r="E109" s="33">
        <v>3</v>
      </c>
      <c r="F109" s="41" t="s">
        <v>83</v>
      </c>
      <c r="G109" s="31"/>
    </row>
    <row r="110" spans="1:7" s="27" customFormat="1" ht="31.2" x14ac:dyDescent="0.25">
      <c r="A110" s="240"/>
      <c r="B110" s="28">
        <v>45062</v>
      </c>
      <c r="C110" s="28"/>
      <c r="D110" s="28"/>
      <c r="E110" s="33">
        <v>4</v>
      </c>
      <c r="F110" s="41" t="s">
        <v>83</v>
      </c>
      <c r="G110" s="31"/>
    </row>
    <row r="111" spans="1:7" s="27" customFormat="1" ht="31.2" x14ac:dyDescent="0.25">
      <c r="A111" s="240"/>
      <c r="B111" s="28">
        <v>45063</v>
      </c>
      <c r="C111" s="28"/>
      <c r="D111" s="28"/>
      <c r="E111" s="33">
        <v>3</v>
      </c>
      <c r="F111" s="41" t="s">
        <v>84</v>
      </c>
      <c r="G111" s="31"/>
    </row>
    <row r="112" spans="1:7" s="27" customFormat="1" ht="46.8" x14ac:dyDescent="0.25">
      <c r="A112" s="240"/>
      <c r="B112" s="28">
        <v>45064</v>
      </c>
      <c r="C112" s="28"/>
      <c r="D112" s="28"/>
      <c r="E112" s="33">
        <v>4.5</v>
      </c>
      <c r="F112" s="41" t="s">
        <v>85</v>
      </c>
      <c r="G112" s="31"/>
    </row>
    <row r="113" spans="1:7" s="27" customFormat="1" ht="46.8" x14ac:dyDescent="0.25">
      <c r="A113" s="240"/>
      <c r="B113" s="28">
        <v>45065</v>
      </c>
      <c r="C113" s="28"/>
      <c r="D113" s="28"/>
      <c r="E113" s="33">
        <v>7</v>
      </c>
      <c r="F113" s="41" t="s">
        <v>86</v>
      </c>
      <c r="G113" s="31"/>
    </row>
    <row r="114" spans="1:7" s="27" customFormat="1" ht="31.2" x14ac:dyDescent="0.25">
      <c r="A114" s="240"/>
      <c r="B114" s="28">
        <v>45066</v>
      </c>
      <c r="C114" s="28"/>
      <c r="D114" s="28"/>
      <c r="E114" s="33">
        <v>2</v>
      </c>
      <c r="F114" s="41" t="s">
        <v>87</v>
      </c>
      <c r="G114" s="31"/>
    </row>
    <row r="115" spans="1:7" s="27" customFormat="1" ht="46.8" x14ac:dyDescent="0.25">
      <c r="A115" s="240"/>
      <c r="B115" s="28">
        <v>45067</v>
      </c>
      <c r="C115" s="28"/>
      <c r="D115" s="28"/>
      <c r="E115" s="33">
        <v>3</v>
      </c>
      <c r="F115" s="41" t="s">
        <v>88</v>
      </c>
      <c r="G115" s="31"/>
    </row>
    <row r="116" spans="1:7" s="27" customFormat="1" ht="31.2" x14ac:dyDescent="0.25">
      <c r="A116" s="240">
        <v>17</v>
      </c>
      <c r="B116" s="28">
        <v>45068</v>
      </c>
      <c r="C116" s="28"/>
      <c r="D116" s="28"/>
      <c r="E116" s="33">
        <v>2</v>
      </c>
      <c r="F116" s="41" t="s">
        <v>89</v>
      </c>
      <c r="G116" s="31"/>
    </row>
    <row r="117" spans="1:7" s="27" customFormat="1" ht="46.8" x14ac:dyDescent="0.25">
      <c r="A117" s="240"/>
      <c r="B117" s="28">
        <v>45069</v>
      </c>
      <c r="C117" s="28"/>
      <c r="D117" s="28"/>
      <c r="E117" s="33">
        <v>2</v>
      </c>
      <c r="F117" s="41" t="s">
        <v>90</v>
      </c>
      <c r="G117" s="31"/>
    </row>
    <row r="118" spans="1:7" s="27" customFormat="1" ht="31.2" x14ac:dyDescent="0.25">
      <c r="A118" s="240"/>
      <c r="B118" s="28">
        <v>45070</v>
      </c>
      <c r="C118" s="28"/>
      <c r="D118" s="28"/>
      <c r="E118" s="33">
        <v>3</v>
      </c>
      <c r="F118" s="41" t="s">
        <v>91</v>
      </c>
      <c r="G118" s="31"/>
    </row>
    <row r="119" spans="1:7" s="27" customFormat="1" ht="62.4" x14ac:dyDescent="0.25">
      <c r="A119" s="240"/>
      <c r="B119" s="28">
        <v>45071</v>
      </c>
      <c r="C119" s="28"/>
      <c r="D119" s="28"/>
      <c r="E119" s="33">
        <v>5</v>
      </c>
      <c r="F119" s="41" t="s">
        <v>92</v>
      </c>
      <c r="G119" s="31"/>
    </row>
    <row r="120" spans="1:7" s="27" customFormat="1" ht="62.4" x14ac:dyDescent="0.25">
      <c r="A120" s="240"/>
      <c r="B120" s="28">
        <v>45072</v>
      </c>
      <c r="C120" s="28"/>
      <c r="D120" s="28"/>
      <c r="E120" s="33">
        <v>6</v>
      </c>
      <c r="F120" s="41" t="s">
        <v>250</v>
      </c>
      <c r="G120" s="31"/>
    </row>
    <row r="121" spans="1:7" s="27" customFormat="1" ht="31.2" x14ac:dyDescent="0.25">
      <c r="A121" s="240"/>
      <c r="B121" s="28">
        <v>45073</v>
      </c>
      <c r="C121" s="28"/>
      <c r="D121" s="28"/>
      <c r="E121" s="33">
        <v>3</v>
      </c>
      <c r="F121" s="41" t="s">
        <v>251</v>
      </c>
      <c r="G121" s="31"/>
    </row>
    <row r="122" spans="1:7" s="27" customFormat="1" ht="31.2" x14ac:dyDescent="0.25">
      <c r="A122" s="240"/>
      <c r="B122" s="28">
        <v>45074</v>
      </c>
      <c r="C122" s="28"/>
      <c r="D122" s="28"/>
      <c r="E122" s="33">
        <v>3</v>
      </c>
      <c r="F122" s="41" t="s">
        <v>252</v>
      </c>
      <c r="G122" s="31"/>
    </row>
    <row r="123" spans="1:7" s="27" customFormat="1" ht="31.2" x14ac:dyDescent="0.25">
      <c r="A123" s="240">
        <v>18</v>
      </c>
      <c r="B123" s="28">
        <v>45075</v>
      </c>
      <c r="C123" s="28"/>
      <c r="D123" s="28"/>
      <c r="E123" s="33">
        <v>3</v>
      </c>
      <c r="F123" s="41" t="s">
        <v>259</v>
      </c>
      <c r="G123" s="31"/>
    </row>
    <row r="124" spans="1:7" s="27" customFormat="1" ht="15.6" x14ac:dyDescent="0.25">
      <c r="A124" s="240"/>
      <c r="B124" s="28">
        <v>45076</v>
      </c>
      <c r="C124" s="28"/>
      <c r="D124" s="28"/>
      <c r="E124" s="33">
        <v>4.5</v>
      </c>
      <c r="F124" s="41" t="s">
        <v>260</v>
      </c>
      <c r="G124" s="31"/>
    </row>
    <row r="125" spans="1:7" s="27" customFormat="1" ht="31.2" x14ac:dyDescent="0.25">
      <c r="A125" s="240"/>
      <c r="B125" s="28">
        <v>45077</v>
      </c>
      <c r="C125" s="28"/>
      <c r="D125" s="28"/>
      <c r="E125" s="33">
        <v>3</v>
      </c>
      <c r="F125" s="41" t="s">
        <v>257</v>
      </c>
      <c r="G125" s="31"/>
    </row>
    <row r="126" spans="1:7" s="27" customFormat="1" ht="31.2" x14ac:dyDescent="0.25">
      <c r="A126" s="240"/>
      <c r="B126" s="28">
        <v>45078</v>
      </c>
      <c r="C126" s="28"/>
      <c r="D126" s="28"/>
      <c r="E126" s="33">
        <v>5</v>
      </c>
      <c r="F126" s="41" t="s">
        <v>258</v>
      </c>
      <c r="G126" s="31"/>
    </row>
    <row r="127" spans="1:7" s="27" customFormat="1" ht="31.2" x14ac:dyDescent="0.25">
      <c r="A127" s="240"/>
      <c r="B127" s="28">
        <v>45079</v>
      </c>
      <c r="C127" s="28"/>
      <c r="D127" s="28"/>
      <c r="E127" s="33">
        <v>4</v>
      </c>
      <c r="F127" s="41" t="s">
        <v>257</v>
      </c>
      <c r="G127" s="31"/>
    </row>
    <row r="128" spans="1:7" s="27" customFormat="1" ht="15.6" x14ac:dyDescent="0.25">
      <c r="A128" s="240"/>
      <c r="B128" s="28">
        <v>45080</v>
      </c>
      <c r="C128" s="28"/>
      <c r="D128" s="28"/>
      <c r="E128" s="33">
        <v>0</v>
      </c>
      <c r="F128" s="41"/>
      <c r="G128" s="31"/>
    </row>
    <row r="129" spans="1:7" s="27" customFormat="1" ht="15.6" x14ac:dyDescent="0.25">
      <c r="A129" s="240"/>
      <c r="B129" s="28">
        <v>45081</v>
      </c>
      <c r="C129" s="28"/>
      <c r="D129" s="28"/>
      <c r="E129" s="33">
        <v>0</v>
      </c>
      <c r="F129" s="41"/>
      <c r="G129" s="31"/>
    </row>
    <row r="130" spans="1:7" s="27" customFormat="1" ht="15.6" x14ac:dyDescent="0.25">
      <c r="A130" s="240">
        <v>19</v>
      </c>
      <c r="B130" s="28">
        <v>45082</v>
      </c>
      <c r="C130" s="28"/>
      <c r="D130" s="28"/>
      <c r="E130" s="33">
        <v>0</v>
      </c>
      <c r="F130" s="41"/>
      <c r="G130" s="31"/>
    </row>
    <row r="131" spans="1:7" s="27" customFormat="1" ht="15.6" x14ac:dyDescent="0.25">
      <c r="A131" s="240"/>
      <c r="B131" s="28">
        <v>45083</v>
      </c>
      <c r="C131" s="28"/>
      <c r="D131" s="28"/>
      <c r="E131" s="33">
        <v>0</v>
      </c>
      <c r="F131" s="41"/>
      <c r="G131" s="31"/>
    </row>
    <row r="132" spans="1:7" s="27" customFormat="1" ht="15.6" x14ac:dyDescent="0.25">
      <c r="A132" s="240"/>
      <c r="B132" s="28">
        <v>45084</v>
      </c>
      <c r="C132" s="28"/>
      <c r="D132" s="28"/>
      <c r="E132" s="33">
        <v>0</v>
      </c>
      <c r="F132" s="41"/>
      <c r="G132" s="31"/>
    </row>
    <row r="133" spans="1:7" s="27" customFormat="1" ht="15.6" x14ac:dyDescent="0.25">
      <c r="A133" s="240"/>
      <c r="B133" s="28">
        <v>45085</v>
      </c>
      <c r="C133" s="28"/>
      <c r="D133" s="28"/>
      <c r="E133" s="33">
        <v>0</v>
      </c>
      <c r="F133" s="41"/>
      <c r="G133" s="31"/>
    </row>
    <row r="134" spans="1:7" s="27" customFormat="1" ht="15.6" x14ac:dyDescent="0.25">
      <c r="A134" s="240"/>
      <c r="B134" s="28">
        <v>45086</v>
      </c>
      <c r="C134" s="28"/>
      <c r="D134" s="28"/>
      <c r="E134" s="33">
        <v>0</v>
      </c>
      <c r="F134" s="41"/>
      <c r="G134" s="31"/>
    </row>
    <row r="135" spans="1:7" s="27" customFormat="1" ht="15.6" x14ac:dyDescent="0.25">
      <c r="A135" s="240"/>
      <c r="B135" s="28">
        <v>45087</v>
      </c>
      <c r="C135" s="28"/>
      <c r="D135" s="28"/>
      <c r="E135" s="33">
        <v>0</v>
      </c>
      <c r="F135" s="41"/>
      <c r="G135" s="31"/>
    </row>
    <row r="136" spans="1:7" s="27" customFormat="1" ht="15.6" x14ac:dyDescent="0.25">
      <c r="A136" s="240"/>
      <c r="B136" s="28">
        <v>45088</v>
      </c>
      <c r="C136" s="28"/>
      <c r="D136" s="28"/>
      <c r="E136" s="33">
        <v>0</v>
      </c>
      <c r="F136" s="41"/>
      <c r="G136" s="31"/>
    </row>
    <row r="137" spans="1:7" s="27" customFormat="1" ht="15.6" x14ac:dyDescent="0.25">
      <c r="A137" s="240">
        <v>20</v>
      </c>
      <c r="B137" s="28">
        <v>45089</v>
      </c>
      <c r="C137" s="28"/>
      <c r="D137" s="28"/>
      <c r="E137" s="33">
        <v>0</v>
      </c>
      <c r="F137" s="41"/>
      <c r="G137" s="31"/>
    </row>
    <row r="138" spans="1:7" s="27" customFormat="1" ht="15.6" x14ac:dyDescent="0.25">
      <c r="A138" s="240"/>
      <c r="B138" s="28">
        <v>45090</v>
      </c>
      <c r="C138" s="28"/>
      <c r="D138" s="28"/>
      <c r="E138" s="33">
        <v>0</v>
      </c>
      <c r="F138" s="41"/>
      <c r="G138" s="31"/>
    </row>
    <row r="139" spans="1:7" s="27" customFormat="1" ht="15.6" x14ac:dyDescent="0.25">
      <c r="A139" s="240"/>
      <c r="B139" s="28">
        <v>45091</v>
      </c>
      <c r="C139" s="28"/>
      <c r="D139" s="28"/>
      <c r="E139" s="33">
        <v>0</v>
      </c>
      <c r="F139" s="41"/>
      <c r="G139" s="31"/>
    </row>
    <row r="140" spans="1:7" s="27" customFormat="1" ht="15.6" x14ac:dyDescent="0.25">
      <c r="A140" s="240"/>
      <c r="B140" s="28">
        <v>45092</v>
      </c>
      <c r="C140" s="28"/>
      <c r="D140" s="28"/>
      <c r="E140" s="33">
        <v>0</v>
      </c>
      <c r="F140" s="41"/>
      <c r="G140" s="31"/>
    </row>
    <row r="141" spans="1:7" s="27" customFormat="1" ht="15.6" x14ac:dyDescent="0.25">
      <c r="A141" s="240"/>
      <c r="B141" s="28">
        <v>45093</v>
      </c>
      <c r="C141" s="28"/>
      <c r="D141" s="28"/>
      <c r="E141" s="33">
        <v>0</v>
      </c>
      <c r="F141" s="41"/>
      <c r="G141" s="31"/>
    </row>
    <row r="142" spans="1:7" s="27" customFormat="1" ht="15.6" x14ac:dyDescent="0.25">
      <c r="A142" s="240"/>
      <c r="B142" s="28">
        <v>45094</v>
      </c>
      <c r="C142" s="28"/>
      <c r="D142" s="28"/>
      <c r="E142" s="33">
        <v>0</v>
      </c>
      <c r="F142" s="41"/>
      <c r="G142" s="31"/>
    </row>
    <row r="143" spans="1:7" s="27" customFormat="1" ht="15.6" x14ac:dyDescent="0.25">
      <c r="A143" s="240"/>
      <c r="B143" s="28">
        <v>45095</v>
      </c>
      <c r="C143" s="28"/>
      <c r="D143" s="28"/>
      <c r="E143" s="33">
        <v>0</v>
      </c>
      <c r="F143" s="41"/>
      <c r="G143" s="31"/>
    </row>
    <row r="144" spans="1:7" s="27" customFormat="1" ht="15.6" x14ac:dyDescent="0.25">
      <c r="A144" s="240">
        <v>21</v>
      </c>
      <c r="B144" s="28">
        <v>45096</v>
      </c>
      <c r="C144" s="28"/>
      <c r="D144" s="28"/>
      <c r="E144" s="33">
        <v>0</v>
      </c>
      <c r="F144" s="41"/>
      <c r="G144" s="31"/>
    </row>
    <row r="145" spans="1:7" s="27" customFormat="1" ht="15.6" x14ac:dyDescent="0.25">
      <c r="A145" s="240"/>
      <c r="B145" s="28">
        <v>45097</v>
      </c>
      <c r="C145" s="28"/>
      <c r="D145" s="28"/>
      <c r="E145" s="33">
        <v>0</v>
      </c>
      <c r="F145" s="41"/>
      <c r="G145" s="31"/>
    </row>
    <row r="146" spans="1:7" s="27" customFormat="1" ht="15.6" x14ac:dyDescent="0.25">
      <c r="A146" s="240"/>
      <c r="B146" s="28">
        <v>45098</v>
      </c>
      <c r="C146" s="28"/>
      <c r="D146" s="28"/>
      <c r="E146" s="33">
        <v>0</v>
      </c>
      <c r="F146" s="41"/>
      <c r="G146" s="31"/>
    </row>
    <row r="147" spans="1:7" s="27" customFormat="1" ht="15.6" x14ac:dyDescent="0.25">
      <c r="A147" s="240"/>
      <c r="B147" s="28">
        <v>45099</v>
      </c>
      <c r="C147" s="28"/>
      <c r="D147" s="28"/>
      <c r="E147" s="33">
        <v>0</v>
      </c>
      <c r="F147" s="41"/>
      <c r="G147" s="31"/>
    </row>
    <row r="148" spans="1:7" s="27" customFormat="1" ht="15.6" x14ac:dyDescent="0.25">
      <c r="A148" s="240"/>
      <c r="B148" s="28">
        <v>45100</v>
      </c>
      <c r="C148" s="28"/>
      <c r="D148" s="28"/>
      <c r="E148" s="33">
        <v>0</v>
      </c>
      <c r="F148" s="41"/>
      <c r="G148" s="31"/>
    </row>
    <row r="149" spans="1:7" s="27" customFormat="1" ht="15.6" x14ac:dyDescent="0.25">
      <c r="A149" s="240"/>
      <c r="B149" s="28">
        <v>45101</v>
      </c>
      <c r="C149" s="28"/>
      <c r="D149" s="28"/>
      <c r="E149" s="33">
        <v>0</v>
      </c>
      <c r="F149" s="41"/>
      <c r="G149" s="31"/>
    </row>
    <row r="150" spans="1:7" s="27" customFormat="1" ht="15.6" x14ac:dyDescent="0.25">
      <c r="A150" s="240"/>
      <c r="B150" s="28">
        <v>45102</v>
      </c>
      <c r="C150" s="28"/>
      <c r="D150" s="28"/>
      <c r="E150" s="33">
        <v>0</v>
      </c>
      <c r="F150" s="41"/>
      <c r="G150" s="31"/>
    </row>
    <row r="151" spans="1:7" s="27" customFormat="1" ht="15.6" x14ac:dyDescent="0.25">
      <c r="A151" s="29"/>
      <c r="B151" s="30">
        <v>45103</v>
      </c>
      <c r="C151" s="30"/>
      <c r="D151" s="30"/>
      <c r="E151" s="33">
        <v>0</v>
      </c>
      <c r="F151" s="71"/>
      <c r="G151" s="32"/>
    </row>
    <row r="152" spans="1:7" ht="15.6" x14ac:dyDescent="0.25">
      <c r="A152" s="16"/>
      <c r="B152" s="7"/>
      <c r="C152" s="7"/>
      <c r="D152" s="7"/>
    </row>
    <row r="153" spans="1:7" ht="15.6" x14ac:dyDescent="0.25">
      <c r="A153" s="16"/>
      <c r="B153" s="7"/>
      <c r="C153" s="7"/>
      <c r="D153" s="7"/>
    </row>
    <row r="154" spans="1:7" ht="15.6" x14ac:dyDescent="0.25">
      <c r="A154" s="16"/>
      <c r="B154" s="7"/>
      <c r="C154" s="7"/>
      <c r="D154" s="7"/>
    </row>
    <row r="155" spans="1:7" ht="15.6" x14ac:dyDescent="0.25">
      <c r="A155" s="16"/>
      <c r="B155" s="7"/>
      <c r="C155" s="7"/>
      <c r="D155" s="7"/>
    </row>
    <row r="156" spans="1:7" ht="15.6" x14ac:dyDescent="0.25">
      <c r="A156" s="16"/>
      <c r="B156" s="7"/>
      <c r="C156" s="7"/>
      <c r="D156" s="7"/>
    </row>
    <row r="157" spans="1:7" ht="15.6" x14ac:dyDescent="0.25">
      <c r="A157" s="16"/>
      <c r="B157" s="7"/>
      <c r="C157" s="7"/>
      <c r="D157" s="7"/>
    </row>
    <row r="158" spans="1:7" ht="15.6" x14ac:dyDescent="0.25">
      <c r="A158" s="16"/>
      <c r="B158" s="7"/>
      <c r="C158" s="7"/>
      <c r="D158" s="7"/>
    </row>
    <row r="159" spans="1:7" ht="15.6" x14ac:dyDescent="0.25">
      <c r="A159" s="16"/>
      <c r="B159" s="7"/>
      <c r="C159" s="7"/>
      <c r="D159" s="7"/>
    </row>
    <row r="160" spans="1:7" ht="15.6" x14ac:dyDescent="0.25">
      <c r="A160" s="16"/>
      <c r="B160" s="7"/>
      <c r="C160" s="7"/>
      <c r="D160" s="7"/>
    </row>
    <row r="161" spans="1:4" ht="15.6" x14ac:dyDescent="0.25">
      <c r="A161" s="16"/>
      <c r="B161" s="7"/>
      <c r="C161" s="7"/>
      <c r="D161" s="7"/>
    </row>
    <row r="162" spans="1:4" ht="15.6" x14ac:dyDescent="0.25">
      <c r="A162" s="16"/>
      <c r="B162" s="7"/>
      <c r="C162" s="7"/>
      <c r="D162" s="7"/>
    </row>
    <row r="163" spans="1:4" ht="15.6" x14ac:dyDescent="0.25">
      <c r="A163" s="16"/>
      <c r="B163" s="7"/>
      <c r="C163" s="7"/>
      <c r="D163" s="7"/>
    </row>
    <row r="164" spans="1:4" ht="15.6" x14ac:dyDescent="0.25">
      <c r="A164" s="16"/>
      <c r="B164" s="7"/>
      <c r="C164" s="7"/>
      <c r="D164" s="7"/>
    </row>
    <row r="165" spans="1:4" ht="15.6" x14ac:dyDescent="0.25">
      <c r="A165" s="16"/>
      <c r="B165" s="7"/>
      <c r="C165" s="7"/>
      <c r="D165" s="7"/>
    </row>
    <row r="166" spans="1:4" ht="15.6" x14ac:dyDescent="0.25">
      <c r="A166" s="16"/>
      <c r="B166" s="7"/>
      <c r="C166" s="7"/>
      <c r="D166" s="7"/>
    </row>
    <row r="167" spans="1:4" ht="15.6" x14ac:dyDescent="0.25">
      <c r="A167" s="16"/>
      <c r="B167" s="7"/>
      <c r="C167" s="7"/>
      <c r="D167" s="7"/>
    </row>
    <row r="168" spans="1:4" ht="15.6" x14ac:dyDescent="0.25">
      <c r="A168" s="16"/>
      <c r="B168" s="7"/>
      <c r="C168" s="7"/>
      <c r="D168" s="7"/>
    </row>
    <row r="169" spans="1:4" ht="15.6" x14ac:dyDescent="0.25">
      <c r="A169" s="16"/>
      <c r="B169" s="7"/>
      <c r="C169" s="7"/>
      <c r="D169" s="7"/>
    </row>
    <row r="170" spans="1:4" ht="15.6" x14ac:dyDescent="0.25">
      <c r="A170" s="16"/>
      <c r="B170" s="7"/>
      <c r="C170" s="7"/>
      <c r="D170" s="7"/>
    </row>
    <row r="171" spans="1:4" ht="15.6" x14ac:dyDescent="0.25">
      <c r="A171" s="16"/>
      <c r="B171" s="7"/>
      <c r="C171" s="7"/>
      <c r="D171" s="7"/>
    </row>
    <row r="172" spans="1:4" ht="15.6" x14ac:dyDescent="0.25">
      <c r="A172" s="16"/>
      <c r="B172" s="7"/>
      <c r="C172" s="7"/>
      <c r="D172" s="7"/>
    </row>
    <row r="173" spans="1:4" ht="15.6" x14ac:dyDescent="0.25">
      <c r="A173" s="16"/>
      <c r="B173" s="7"/>
      <c r="C173" s="7"/>
      <c r="D173" s="7"/>
    </row>
    <row r="174" spans="1:4" ht="15.6" x14ac:dyDescent="0.25">
      <c r="A174" s="16"/>
      <c r="B174" s="7"/>
      <c r="C174" s="7"/>
      <c r="D174" s="7"/>
    </row>
    <row r="175" spans="1:4" ht="15.6" x14ac:dyDescent="0.25">
      <c r="A175" s="16"/>
      <c r="B175" s="7"/>
      <c r="C175" s="7"/>
      <c r="D175" s="7"/>
    </row>
    <row r="176" spans="1:4" ht="15.6" x14ac:dyDescent="0.25">
      <c r="A176" s="16"/>
      <c r="B176" s="7"/>
      <c r="C176" s="7"/>
      <c r="D176" s="7"/>
    </row>
    <row r="177" spans="1:4" ht="15.6" x14ac:dyDescent="0.25">
      <c r="A177" s="16"/>
      <c r="B177" s="7"/>
      <c r="C177" s="7"/>
      <c r="D177" s="7"/>
    </row>
    <row r="178" spans="1:4" ht="15.6" x14ac:dyDescent="0.25">
      <c r="A178" s="16"/>
      <c r="B178" s="7"/>
      <c r="C178" s="7"/>
      <c r="D178" s="7"/>
    </row>
    <row r="179" spans="1:4" ht="15.6" x14ac:dyDescent="0.25">
      <c r="A179" s="16"/>
      <c r="B179" s="7"/>
      <c r="C179" s="7"/>
      <c r="D179" s="7"/>
    </row>
    <row r="180" spans="1:4" ht="15.6" x14ac:dyDescent="0.25">
      <c r="A180" s="16"/>
      <c r="B180" s="7"/>
      <c r="C180" s="7"/>
      <c r="D180" s="7"/>
    </row>
    <row r="181" spans="1:4" ht="15.6" x14ac:dyDescent="0.25">
      <c r="A181" s="16"/>
      <c r="B181" s="7"/>
      <c r="C181" s="7"/>
      <c r="D181" s="7"/>
    </row>
    <row r="182" spans="1:4" ht="15.6" x14ac:dyDescent="0.25">
      <c r="A182" s="16"/>
      <c r="B182" s="7"/>
      <c r="C182" s="7"/>
      <c r="D182" s="7"/>
    </row>
    <row r="183" spans="1:4" ht="15.6" x14ac:dyDescent="0.25">
      <c r="A183" s="16"/>
      <c r="B183" s="7"/>
      <c r="C183" s="7"/>
      <c r="D183" s="7"/>
    </row>
    <row r="184" spans="1:4" ht="15.6" x14ac:dyDescent="0.25">
      <c r="A184" s="16"/>
      <c r="B184" s="7"/>
      <c r="C184" s="7"/>
      <c r="D184" s="7"/>
    </row>
    <row r="185" spans="1:4" ht="15.6" x14ac:dyDescent="0.25">
      <c r="A185" s="16"/>
      <c r="B185" s="7"/>
      <c r="C185" s="7"/>
      <c r="D185" s="7"/>
    </row>
    <row r="186" spans="1:4" ht="15.6" x14ac:dyDescent="0.25">
      <c r="A186" s="16"/>
      <c r="B186" s="7"/>
      <c r="C186" s="7"/>
      <c r="D186" s="7"/>
    </row>
    <row r="187" spans="1:4" ht="15.6" x14ac:dyDescent="0.25">
      <c r="A187" s="16"/>
      <c r="B187" s="7"/>
      <c r="C187" s="7"/>
      <c r="D187" s="7"/>
    </row>
    <row r="188" spans="1:4" ht="15.6" x14ac:dyDescent="0.25">
      <c r="A188" s="16"/>
      <c r="B188" s="7"/>
      <c r="C188" s="7"/>
      <c r="D188" s="7"/>
    </row>
    <row r="189" spans="1:4" ht="15.6" x14ac:dyDescent="0.25">
      <c r="A189" s="16"/>
      <c r="B189" s="7"/>
      <c r="C189" s="7"/>
      <c r="D189" s="7"/>
    </row>
    <row r="190" spans="1:4" ht="15.6" x14ac:dyDescent="0.25">
      <c r="A190" s="16"/>
      <c r="B190" s="7"/>
      <c r="C190" s="7"/>
      <c r="D190" s="7"/>
    </row>
    <row r="191" spans="1:4" ht="15.6" x14ac:dyDescent="0.25">
      <c r="A191" s="16"/>
      <c r="B191" s="7"/>
      <c r="C191" s="7"/>
      <c r="D191" s="7"/>
    </row>
    <row r="192" spans="1:4" ht="15.6" x14ac:dyDescent="0.25">
      <c r="A192" s="16"/>
      <c r="B192" s="7"/>
      <c r="C192" s="7"/>
      <c r="D192" s="7"/>
    </row>
    <row r="193" spans="1:4" ht="15.6" x14ac:dyDescent="0.25">
      <c r="A193" s="16"/>
      <c r="B193" s="7"/>
      <c r="C193" s="7"/>
      <c r="D193" s="7"/>
    </row>
    <row r="194" spans="1:4" ht="15.6" x14ac:dyDescent="0.25">
      <c r="A194" s="16"/>
      <c r="B194" s="7"/>
      <c r="C194" s="7"/>
      <c r="D194" s="7"/>
    </row>
    <row r="195" spans="1:4" ht="15.6" x14ac:dyDescent="0.25">
      <c r="A195" s="16"/>
      <c r="B195" s="7"/>
      <c r="C195" s="7"/>
      <c r="D195" s="7"/>
    </row>
    <row r="196" spans="1:4" ht="15.6" x14ac:dyDescent="0.25">
      <c r="A196" s="16"/>
      <c r="B196" s="7"/>
      <c r="C196" s="7"/>
      <c r="D196" s="7"/>
    </row>
    <row r="197" spans="1:4" ht="15.6" x14ac:dyDescent="0.25">
      <c r="A197" s="16"/>
      <c r="B197" s="7"/>
      <c r="C197" s="7"/>
      <c r="D197" s="7"/>
    </row>
    <row r="198" spans="1:4" ht="15.6" x14ac:dyDescent="0.25">
      <c r="A198" s="16"/>
      <c r="B198" s="7"/>
      <c r="C198" s="7"/>
      <c r="D198" s="7"/>
    </row>
    <row r="199" spans="1:4" ht="15.6" x14ac:dyDescent="0.25">
      <c r="A199" s="16"/>
      <c r="B199" s="7"/>
      <c r="C199" s="7"/>
      <c r="D199" s="7"/>
    </row>
    <row r="200" spans="1:4" ht="15.6" x14ac:dyDescent="0.25">
      <c r="A200" s="16"/>
      <c r="B200" s="7"/>
      <c r="C200" s="7"/>
      <c r="D200" s="7"/>
    </row>
    <row r="201" spans="1:4" ht="15.6" x14ac:dyDescent="0.25">
      <c r="A201" s="16"/>
      <c r="B201" s="7"/>
      <c r="C201" s="7"/>
      <c r="D201" s="7"/>
    </row>
    <row r="202" spans="1:4" ht="15.6" x14ac:dyDescent="0.25">
      <c r="A202" s="16"/>
      <c r="B202" s="7"/>
      <c r="C202" s="7"/>
      <c r="D202" s="7"/>
    </row>
    <row r="203" spans="1:4" ht="15.6" x14ac:dyDescent="0.25">
      <c r="A203" s="16"/>
      <c r="B203" s="7"/>
      <c r="C203" s="7"/>
      <c r="D203" s="7"/>
    </row>
    <row r="204" spans="1:4" ht="15.6" x14ac:dyDescent="0.25">
      <c r="A204" s="16"/>
      <c r="B204" s="7"/>
      <c r="C204" s="7"/>
      <c r="D204" s="7"/>
    </row>
    <row r="205" spans="1:4" ht="15.6" x14ac:dyDescent="0.3"/>
    <row r="206" spans="1:4" ht="15.6" x14ac:dyDescent="0.3"/>
    <row r="207" spans="1:4" ht="15.6" x14ac:dyDescent="0.3"/>
    <row r="208" spans="1:4" ht="15.6" x14ac:dyDescent="0.3"/>
    <row r="209" ht="15.6" x14ac:dyDescent="0.3"/>
    <row r="210" ht="15.6" x14ac:dyDescent="0.3"/>
    <row r="211" ht="15.6" x14ac:dyDescent="0.3"/>
    <row r="212" ht="15.6" x14ac:dyDescent="0.3"/>
    <row r="213" ht="15.6" x14ac:dyDescent="0.3"/>
    <row r="214" ht="15.6" x14ac:dyDescent="0.3"/>
    <row r="215" ht="15.6" x14ac:dyDescent="0.3"/>
    <row r="216" ht="15.6" x14ac:dyDescent="0.3"/>
    <row r="217" ht="15.6" x14ac:dyDescent="0.3"/>
    <row r="218" ht="15.6" x14ac:dyDescent="0.3"/>
    <row r="219" ht="15.6" x14ac:dyDescent="0.3"/>
    <row r="220" ht="15.6" x14ac:dyDescent="0.3"/>
    <row r="221" ht="15.6" x14ac:dyDescent="0.3"/>
    <row r="222" ht="15.6" x14ac:dyDescent="0.3"/>
    <row r="223" ht="15.6" x14ac:dyDescent="0.3"/>
    <row r="224" ht="15.6" x14ac:dyDescent="0.3"/>
    <row r="225" ht="15.6" x14ac:dyDescent="0.3"/>
    <row r="226" ht="15.6" x14ac:dyDescent="0.3"/>
    <row r="227" ht="15.6" x14ac:dyDescent="0.3"/>
    <row r="228" ht="15.6" x14ac:dyDescent="0.3"/>
    <row r="229" ht="15.6" x14ac:dyDescent="0.3"/>
    <row r="230" ht="15.6" x14ac:dyDescent="0.3"/>
    <row r="231" ht="15.6" x14ac:dyDescent="0.3"/>
    <row r="232" ht="15.6" x14ac:dyDescent="0.3"/>
    <row r="233" ht="15.6" x14ac:dyDescent="0.3"/>
    <row r="234" ht="15.6" x14ac:dyDescent="0.3"/>
    <row r="235" ht="15.6" x14ac:dyDescent="0.3"/>
    <row r="236" ht="15.6" x14ac:dyDescent="0.3"/>
    <row r="237" ht="15.6" x14ac:dyDescent="0.3"/>
    <row r="238" ht="15.6" x14ac:dyDescent="0.3"/>
    <row r="239" ht="15.6" x14ac:dyDescent="0.3"/>
    <row r="240" ht="15.6" x14ac:dyDescent="0.3"/>
    <row r="241" ht="15.6" x14ac:dyDescent="0.3"/>
    <row r="242" ht="15.6" x14ac:dyDescent="0.3"/>
    <row r="243" ht="15.6" x14ac:dyDescent="0.3"/>
    <row r="244" ht="15.6" x14ac:dyDescent="0.3"/>
    <row r="245" ht="15.6" x14ac:dyDescent="0.3"/>
    <row r="246" ht="15.6" x14ac:dyDescent="0.3"/>
    <row r="247" ht="15.6" x14ac:dyDescent="0.3"/>
    <row r="248" ht="15.6" x14ac:dyDescent="0.3"/>
    <row r="249" ht="15.6" x14ac:dyDescent="0.3"/>
    <row r="250" ht="15.6" x14ac:dyDescent="0.3"/>
    <row r="251" ht="15.6" x14ac:dyDescent="0.3"/>
    <row r="252" ht="15.6" x14ac:dyDescent="0.3"/>
    <row r="253" ht="15.6" x14ac:dyDescent="0.3"/>
    <row r="254" ht="15.6" x14ac:dyDescent="0.3"/>
    <row r="255" ht="15.6" x14ac:dyDescent="0.3"/>
    <row r="256" ht="15.6" x14ac:dyDescent="0.3"/>
    <row r="257" ht="15.6" x14ac:dyDescent="0.3"/>
    <row r="258" ht="15.6" x14ac:dyDescent="0.3"/>
    <row r="259" ht="15.6" x14ac:dyDescent="0.3"/>
    <row r="260" ht="15.6" x14ac:dyDescent="0.3"/>
    <row r="261" ht="15.6" x14ac:dyDescent="0.3"/>
    <row r="262" ht="15.6" x14ac:dyDescent="0.3"/>
    <row r="263" ht="15.6" x14ac:dyDescent="0.3"/>
    <row r="264" ht="15.6" x14ac:dyDescent="0.3"/>
    <row r="265" ht="15.6" x14ac:dyDescent="0.3"/>
    <row r="266" ht="15.6" x14ac:dyDescent="0.3"/>
    <row r="267" ht="15.6" x14ac:dyDescent="0.3"/>
    <row r="268" ht="15.6" x14ac:dyDescent="0.3"/>
    <row r="269" ht="15.6" x14ac:dyDescent="0.3"/>
    <row r="270" ht="15.6" x14ac:dyDescent="0.3"/>
    <row r="271" ht="15.6" x14ac:dyDescent="0.3"/>
    <row r="272" ht="15.6" x14ac:dyDescent="0.3"/>
    <row r="273" ht="15.6" x14ac:dyDescent="0.3"/>
    <row r="274" ht="15.6" x14ac:dyDescent="0.3"/>
    <row r="275" ht="15.6" x14ac:dyDescent="0.3"/>
    <row r="276" ht="15.6" x14ac:dyDescent="0.3"/>
    <row r="277" ht="15.6" x14ac:dyDescent="0.3"/>
    <row r="278" ht="15.6" x14ac:dyDescent="0.3"/>
    <row r="279" ht="15.6" x14ac:dyDescent="0.3"/>
    <row r="280" ht="15.6" x14ac:dyDescent="0.3"/>
    <row r="281" ht="15.6" x14ac:dyDescent="0.3"/>
    <row r="282" ht="15.6" x14ac:dyDescent="0.3"/>
    <row r="283" ht="15.6" x14ac:dyDescent="0.3"/>
    <row r="284" ht="15.6" x14ac:dyDescent="0.3"/>
    <row r="285" ht="15.6" x14ac:dyDescent="0.3"/>
    <row r="286" ht="15.6" x14ac:dyDescent="0.3"/>
    <row r="287" ht="15.6" x14ac:dyDescent="0.3"/>
    <row r="288" ht="15.6" x14ac:dyDescent="0.3"/>
    <row r="289" ht="15.6" x14ac:dyDescent="0.3"/>
    <row r="290" ht="15.6" x14ac:dyDescent="0.3"/>
    <row r="291" ht="15.6" x14ac:dyDescent="0.3"/>
    <row r="292" ht="15.6" x14ac:dyDescent="0.3"/>
    <row r="293" ht="15.6" x14ac:dyDescent="0.3"/>
    <row r="294" ht="15.6" x14ac:dyDescent="0.3"/>
    <row r="295" ht="15.6" x14ac:dyDescent="0.3"/>
    <row r="296" ht="15.6" x14ac:dyDescent="0.3"/>
    <row r="297" ht="15.6" x14ac:dyDescent="0.3"/>
    <row r="298" ht="15.6" x14ac:dyDescent="0.3"/>
    <row r="299" ht="15.6" x14ac:dyDescent="0.3"/>
    <row r="300" ht="15.6" x14ac:dyDescent="0.3"/>
    <row r="301" ht="15.6" x14ac:dyDescent="0.3"/>
    <row r="302" ht="15.6" x14ac:dyDescent="0.3"/>
    <row r="303" ht="15.6" x14ac:dyDescent="0.3"/>
    <row r="304" ht="15.6" x14ac:dyDescent="0.3"/>
    <row r="305" ht="15.6" x14ac:dyDescent="0.3"/>
    <row r="306" ht="15.6" x14ac:dyDescent="0.3"/>
    <row r="307" ht="15.6" x14ac:dyDescent="0.3"/>
    <row r="308" ht="15.6" x14ac:dyDescent="0.3"/>
    <row r="309" ht="15.6" x14ac:dyDescent="0.3"/>
    <row r="310" ht="15.6" x14ac:dyDescent="0.3"/>
    <row r="311" ht="15.6" x14ac:dyDescent="0.3"/>
    <row r="312" ht="15.6" x14ac:dyDescent="0.3"/>
    <row r="313" ht="15.6" x14ac:dyDescent="0.3"/>
    <row r="314" ht="15.6" x14ac:dyDescent="0.3"/>
    <row r="315" ht="15.6" x14ac:dyDescent="0.3"/>
    <row r="316" ht="15.6" x14ac:dyDescent="0.3"/>
    <row r="317" ht="15.6" x14ac:dyDescent="0.3"/>
  </sheetData>
  <mergeCells count="29">
    <mergeCell ref="A144:A150"/>
    <mergeCell ref="B2:B3"/>
    <mergeCell ref="A2:A3"/>
    <mergeCell ref="C2:C3"/>
    <mergeCell ref="A102:A108"/>
    <mergeCell ref="A109:A115"/>
    <mergeCell ref="A116:A122"/>
    <mergeCell ref="A123:A129"/>
    <mergeCell ref="A130:A136"/>
    <mergeCell ref="A67:A73"/>
    <mergeCell ref="A74:A80"/>
    <mergeCell ref="A81:A87"/>
    <mergeCell ref="A88:A94"/>
    <mergeCell ref="A95:A101"/>
    <mergeCell ref="A32:A38"/>
    <mergeCell ref="A39:A45"/>
    <mergeCell ref="F2:F3"/>
    <mergeCell ref="D2:D3"/>
    <mergeCell ref="E2:E3"/>
    <mergeCell ref="A1:G1"/>
    <mergeCell ref="A137:A143"/>
    <mergeCell ref="A46:A52"/>
    <mergeCell ref="A53:A59"/>
    <mergeCell ref="A60:A66"/>
    <mergeCell ref="A4:A10"/>
    <mergeCell ref="A11:A17"/>
    <mergeCell ref="A18:A24"/>
    <mergeCell ref="A25:A31"/>
    <mergeCell ref="G2:G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F151"/>
  <sheetViews>
    <sheetView topLeftCell="A105" workbookViewId="0">
      <selection activeCell="E127" sqref="E127"/>
    </sheetView>
  </sheetViews>
  <sheetFormatPr baseColWidth="10" defaultColWidth="11" defaultRowHeight="13.8" x14ac:dyDescent="0.25"/>
  <cols>
    <col min="2" max="2" width="17.09765625" customWidth="1"/>
    <col min="3" max="3" width="19.69921875" style="78" customWidth="1"/>
    <col min="4" max="4" width="21" bestFit="1" customWidth="1"/>
    <col min="5" max="5" width="62.5" customWidth="1"/>
    <col min="6" max="6" width="14.8984375" bestFit="1" customWidth="1"/>
  </cols>
  <sheetData>
    <row r="1" spans="1:6" ht="14.25" customHeight="1" x14ac:dyDescent="0.25">
      <c r="A1" s="250" t="s">
        <v>93</v>
      </c>
      <c r="B1" s="251"/>
      <c r="C1" s="251"/>
      <c r="D1" s="251"/>
      <c r="E1" s="251"/>
    </row>
    <row r="2" spans="1:6" ht="14.25" customHeight="1" x14ac:dyDescent="0.25">
      <c r="A2" s="249" t="s">
        <v>3</v>
      </c>
      <c r="B2" s="252" t="s">
        <v>94</v>
      </c>
      <c r="C2" s="252" t="s">
        <v>95</v>
      </c>
      <c r="D2" s="252" t="s">
        <v>96</v>
      </c>
      <c r="E2" s="253" t="s">
        <v>97</v>
      </c>
    </row>
    <row r="3" spans="1:6" ht="14.25" customHeight="1" x14ac:dyDescent="0.25">
      <c r="A3" s="249"/>
      <c r="B3" s="252"/>
      <c r="C3" s="252"/>
      <c r="D3" s="252"/>
      <c r="E3" s="253"/>
    </row>
    <row r="4" spans="1:6" ht="14.25" customHeight="1" x14ac:dyDescent="0.25">
      <c r="A4" s="42">
        <v>44956</v>
      </c>
      <c r="B4" s="79">
        <v>0.75</v>
      </c>
      <c r="C4" s="79">
        <v>0.875</v>
      </c>
      <c r="D4" s="46">
        <f t="shared" ref="D4:D67" si="0">IF(C4="","-",SUM(C4-B4))</f>
        <v>0.125</v>
      </c>
      <c r="E4" s="73" t="s">
        <v>98</v>
      </c>
    </row>
    <row r="5" spans="1:6" ht="15.6" x14ac:dyDescent="0.25">
      <c r="A5" s="42">
        <v>44957</v>
      </c>
      <c r="B5" s="79">
        <v>0.47916666666666669</v>
      </c>
      <c r="C5" s="79">
        <v>0.60416666666666663</v>
      </c>
      <c r="D5" s="46">
        <f t="shared" si="0"/>
        <v>0.12499999999999994</v>
      </c>
      <c r="E5" s="74" t="s">
        <v>99</v>
      </c>
      <c r="F5" s="3"/>
    </row>
    <row r="6" spans="1:6" ht="15.6" x14ac:dyDescent="0.25">
      <c r="A6" s="42">
        <v>44958</v>
      </c>
      <c r="B6" s="79">
        <v>0.75</v>
      </c>
      <c r="C6" s="79">
        <v>0.91666666666666663</v>
      </c>
      <c r="D6" s="46">
        <f t="shared" si="0"/>
        <v>0.16666666666666663</v>
      </c>
      <c r="E6" s="73" t="s">
        <v>100</v>
      </c>
    </row>
    <row r="7" spans="1:6" ht="15.6" x14ac:dyDescent="0.25">
      <c r="A7" s="42">
        <v>44959</v>
      </c>
      <c r="B7" s="79">
        <v>0.75</v>
      </c>
      <c r="C7" s="79">
        <v>0.83333333333333337</v>
      </c>
      <c r="D7" s="46">
        <f t="shared" si="0"/>
        <v>8.333333333333337E-2</v>
      </c>
      <c r="E7" s="74" t="s">
        <v>101</v>
      </c>
    </row>
    <row r="8" spans="1:6" ht="15.6" x14ac:dyDescent="0.25">
      <c r="A8" s="42">
        <v>44960</v>
      </c>
      <c r="B8" s="79">
        <v>0.83333333333333337</v>
      </c>
      <c r="C8" s="79">
        <v>0.95833333333333337</v>
      </c>
      <c r="D8" s="46">
        <f t="shared" si="0"/>
        <v>0.125</v>
      </c>
      <c r="E8" s="74" t="s">
        <v>101</v>
      </c>
    </row>
    <row r="9" spans="1:6" ht="15.6" x14ac:dyDescent="0.25">
      <c r="A9" s="43">
        <v>44961</v>
      </c>
      <c r="B9" s="79">
        <v>0</v>
      </c>
      <c r="C9" s="79">
        <v>0</v>
      </c>
      <c r="D9" s="46">
        <f t="shared" si="0"/>
        <v>0</v>
      </c>
      <c r="E9" s="74"/>
    </row>
    <row r="10" spans="1:6" s="1" customFormat="1" ht="15.6" x14ac:dyDescent="0.25">
      <c r="A10" s="43">
        <v>44962</v>
      </c>
      <c r="B10" s="79">
        <v>0</v>
      </c>
      <c r="C10" s="79">
        <v>0</v>
      </c>
      <c r="D10" s="46">
        <f t="shared" si="0"/>
        <v>0</v>
      </c>
      <c r="E10" s="74"/>
    </row>
    <row r="11" spans="1:6" ht="15.6" x14ac:dyDescent="0.25">
      <c r="A11" s="44">
        <v>44963</v>
      </c>
      <c r="B11" s="79">
        <v>0.75</v>
      </c>
      <c r="C11" s="79">
        <v>0.91666666666666663</v>
      </c>
      <c r="D11" s="46">
        <f t="shared" si="0"/>
        <v>0.16666666666666663</v>
      </c>
      <c r="E11" s="74" t="s">
        <v>101</v>
      </c>
    </row>
    <row r="12" spans="1:6" ht="15.6" x14ac:dyDescent="0.25">
      <c r="A12" s="42">
        <v>44964</v>
      </c>
      <c r="B12" s="79">
        <v>0.75</v>
      </c>
      <c r="C12" s="79">
        <v>0.91666666666666663</v>
      </c>
      <c r="D12" s="46">
        <f t="shared" si="0"/>
        <v>0.16666666666666663</v>
      </c>
      <c r="E12" s="74" t="s">
        <v>101</v>
      </c>
    </row>
    <row r="13" spans="1:6" ht="15.6" x14ac:dyDescent="0.25">
      <c r="A13" s="42">
        <v>44965</v>
      </c>
      <c r="B13" s="79">
        <v>0.79166666666666663</v>
      </c>
      <c r="C13" s="79">
        <v>0.91666666666666663</v>
      </c>
      <c r="D13" s="46">
        <f t="shared" si="0"/>
        <v>0.125</v>
      </c>
      <c r="E13" s="74" t="s">
        <v>101</v>
      </c>
    </row>
    <row r="14" spans="1:6" ht="15.6" x14ac:dyDescent="0.25">
      <c r="A14" s="42">
        <v>44966</v>
      </c>
      <c r="B14" s="79">
        <v>0.66666666666666663</v>
      </c>
      <c r="C14" s="79">
        <v>0.91666666666666663</v>
      </c>
      <c r="D14" s="46">
        <f t="shared" si="0"/>
        <v>0.25</v>
      </c>
      <c r="E14" s="74" t="s">
        <v>102</v>
      </c>
    </row>
    <row r="15" spans="1:6" ht="15.6" x14ac:dyDescent="0.25">
      <c r="A15" s="42">
        <v>44967</v>
      </c>
      <c r="B15" s="79">
        <v>0.75</v>
      </c>
      <c r="C15" s="79">
        <v>0.91666666666666663</v>
      </c>
      <c r="D15" s="46">
        <f t="shared" si="0"/>
        <v>0.16666666666666663</v>
      </c>
      <c r="E15" s="74" t="s">
        <v>102</v>
      </c>
    </row>
    <row r="16" spans="1:6" ht="15.6" x14ac:dyDescent="0.25">
      <c r="A16" s="43">
        <v>44968</v>
      </c>
      <c r="B16" s="79">
        <v>0.75</v>
      </c>
      <c r="C16" s="79">
        <v>0.91666666666666663</v>
      </c>
      <c r="D16" s="46">
        <f t="shared" si="0"/>
        <v>0.16666666666666663</v>
      </c>
      <c r="E16" s="74" t="s">
        <v>102</v>
      </c>
    </row>
    <row r="17" spans="1:5" ht="15.6" x14ac:dyDescent="0.25">
      <c r="A17" s="43">
        <v>44969</v>
      </c>
      <c r="B17" s="79">
        <v>0.83333333333333337</v>
      </c>
      <c r="C17" s="79">
        <v>0.91666666666666663</v>
      </c>
      <c r="D17" s="46">
        <f t="shared" si="0"/>
        <v>8.3333333333333259E-2</v>
      </c>
      <c r="E17" s="74" t="s">
        <v>103</v>
      </c>
    </row>
    <row r="18" spans="1:5" ht="15.6" x14ac:dyDescent="0.25">
      <c r="A18" s="42">
        <v>44970</v>
      </c>
      <c r="B18" s="79">
        <v>0.75</v>
      </c>
      <c r="C18" s="79">
        <v>0.91666666666666663</v>
      </c>
      <c r="D18" s="46">
        <f t="shared" si="0"/>
        <v>0.16666666666666663</v>
      </c>
      <c r="E18" s="74" t="s">
        <v>103</v>
      </c>
    </row>
    <row r="19" spans="1:5" ht="15.6" x14ac:dyDescent="0.25">
      <c r="A19" s="42">
        <v>44971</v>
      </c>
      <c r="B19" s="79">
        <v>0.75</v>
      </c>
      <c r="C19" s="79">
        <v>0.91666666666666663</v>
      </c>
      <c r="D19" s="46">
        <f t="shared" si="0"/>
        <v>0.16666666666666663</v>
      </c>
      <c r="E19" s="73" t="s">
        <v>104</v>
      </c>
    </row>
    <row r="20" spans="1:5" ht="15.6" x14ac:dyDescent="0.25">
      <c r="A20" s="42">
        <v>44972</v>
      </c>
      <c r="B20" s="79">
        <v>0.83333333333333337</v>
      </c>
      <c r="C20" s="79">
        <v>0.91666666666666663</v>
      </c>
      <c r="D20" s="46">
        <f t="shared" si="0"/>
        <v>8.3333333333333259E-2</v>
      </c>
      <c r="E20" s="73" t="s">
        <v>104</v>
      </c>
    </row>
    <row r="21" spans="1:5" ht="15.6" x14ac:dyDescent="0.25">
      <c r="A21" s="42">
        <v>44973</v>
      </c>
      <c r="B21" s="79">
        <v>0.41666666666666669</v>
      </c>
      <c r="C21" s="79">
        <v>0.91666666666666663</v>
      </c>
      <c r="D21" s="46">
        <f t="shared" si="0"/>
        <v>0.49999999999999994</v>
      </c>
      <c r="E21" s="73" t="s">
        <v>104</v>
      </c>
    </row>
    <row r="22" spans="1:5" ht="15.6" x14ac:dyDescent="0.25">
      <c r="A22" s="42">
        <v>44974</v>
      </c>
      <c r="B22" s="79">
        <v>0.75</v>
      </c>
      <c r="C22" s="79">
        <v>0.91666666666666663</v>
      </c>
      <c r="D22" s="46">
        <f t="shared" si="0"/>
        <v>0.16666666666666663</v>
      </c>
      <c r="E22" s="73" t="s">
        <v>104</v>
      </c>
    </row>
    <row r="23" spans="1:5" ht="15.6" x14ac:dyDescent="0.25">
      <c r="A23" s="43">
        <v>44975</v>
      </c>
      <c r="B23" s="79">
        <v>0.66666666666666663</v>
      </c>
      <c r="C23" s="79">
        <v>0.83333333333333337</v>
      </c>
      <c r="D23" s="46">
        <f t="shared" si="0"/>
        <v>0.16666666666666674</v>
      </c>
      <c r="E23" s="74" t="s">
        <v>104</v>
      </c>
    </row>
    <row r="24" spans="1:5" ht="15.6" x14ac:dyDescent="0.25">
      <c r="A24" s="43">
        <v>44976</v>
      </c>
      <c r="B24" s="79">
        <v>0</v>
      </c>
      <c r="C24" s="79">
        <v>0</v>
      </c>
      <c r="D24" s="46">
        <f t="shared" si="0"/>
        <v>0</v>
      </c>
      <c r="E24" s="73"/>
    </row>
    <row r="25" spans="1:5" ht="15.6" x14ac:dyDescent="0.25">
      <c r="A25" s="42">
        <v>44977</v>
      </c>
      <c r="B25" s="79">
        <v>0.75</v>
      </c>
      <c r="C25" s="79">
        <v>0.91666666666666663</v>
      </c>
      <c r="D25" s="46">
        <f t="shared" si="0"/>
        <v>0.16666666666666663</v>
      </c>
      <c r="E25" s="73" t="s">
        <v>104</v>
      </c>
    </row>
    <row r="26" spans="1:5" ht="15.6" x14ac:dyDescent="0.25">
      <c r="A26" s="42">
        <v>44978</v>
      </c>
      <c r="B26" s="79">
        <v>0.75</v>
      </c>
      <c r="C26" s="79">
        <v>0.91666666666666663</v>
      </c>
      <c r="D26" s="46">
        <f t="shared" si="0"/>
        <v>0.16666666666666663</v>
      </c>
      <c r="E26" s="73" t="s">
        <v>104</v>
      </c>
    </row>
    <row r="27" spans="1:5" ht="15.6" x14ac:dyDescent="0.25">
      <c r="A27" s="42">
        <v>44979</v>
      </c>
      <c r="B27" s="79">
        <v>0.75</v>
      </c>
      <c r="C27" s="79">
        <v>0.91666666666666696</v>
      </c>
      <c r="D27" s="46">
        <f t="shared" si="0"/>
        <v>0.16666666666666696</v>
      </c>
      <c r="E27" s="73" t="s">
        <v>104</v>
      </c>
    </row>
    <row r="28" spans="1:5" ht="15.6" x14ac:dyDescent="0.25">
      <c r="A28" s="42">
        <v>44980</v>
      </c>
      <c r="B28" s="79">
        <v>0.75</v>
      </c>
      <c r="C28" s="79">
        <v>0.91666666666666696</v>
      </c>
      <c r="D28" s="46">
        <f t="shared" si="0"/>
        <v>0.16666666666666696</v>
      </c>
      <c r="E28" s="73" t="s">
        <v>104</v>
      </c>
    </row>
    <row r="29" spans="1:5" ht="15.6" x14ac:dyDescent="0.25">
      <c r="A29" s="42">
        <v>44981</v>
      </c>
      <c r="B29" s="79">
        <v>0.75</v>
      </c>
      <c r="C29" s="79">
        <v>0.91666666666666696</v>
      </c>
      <c r="D29" s="46">
        <f t="shared" si="0"/>
        <v>0.16666666666666696</v>
      </c>
      <c r="E29" s="74" t="s">
        <v>105</v>
      </c>
    </row>
    <row r="30" spans="1:5" ht="15.6" x14ac:dyDescent="0.25">
      <c r="A30" s="43">
        <v>44982</v>
      </c>
      <c r="B30" s="79">
        <v>0</v>
      </c>
      <c r="C30" s="79">
        <v>0</v>
      </c>
      <c r="D30" s="46">
        <f t="shared" si="0"/>
        <v>0</v>
      </c>
      <c r="E30" s="73"/>
    </row>
    <row r="31" spans="1:5" ht="15.6" x14ac:dyDescent="0.25">
      <c r="A31" s="43">
        <v>44983</v>
      </c>
      <c r="B31" s="79">
        <v>0</v>
      </c>
      <c r="C31" s="79">
        <v>0</v>
      </c>
      <c r="D31" s="46">
        <f t="shared" si="0"/>
        <v>0</v>
      </c>
      <c r="E31" s="74"/>
    </row>
    <row r="32" spans="1:5" ht="15.6" x14ac:dyDescent="0.25">
      <c r="A32" s="42">
        <v>44984</v>
      </c>
      <c r="B32" s="79">
        <v>0.70833333333333337</v>
      </c>
      <c r="C32" s="79">
        <v>0.83333333333333337</v>
      </c>
      <c r="D32" s="46">
        <f t="shared" si="0"/>
        <v>0.125</v>
      </c>
      <c r="E32" s="73" t="s">
        <v>106</v>
      </c>
    </row>
    <row r="33" spans="1:5" ht="15.6" x14ac:dyDescent="0.25">
      <c r="A33" s="42">
        <v>44985</v>
      </c>
      <c r="B33" s="79">
        <v>0.41666666666666669</v>
      </c>
      <c r="C33" s="79">
        <v>0.625</v>
      </c>
      <c r="D33" s="46">
        <f t="shared" si="0"/>
        <v>0.20833333333333331</v>
      </c>
      <c r="E33" s="74" t="s">
        <v>107</v>
      </c>
    </row>
    <row r="34" spans="1:5" ht="15.6" x14ac:dyDescent="0.25">
      <c r="A34" s="42">
        <v>44986</v>
      </c>
      <c r="B34" s="79">
        <v>0.41666666666666669</v>
      </c>
      <c r="C34" s="79">
        <v>0.625</v>
      </c>
      <c r="D34" s="46">
        <f t="shared" si="0"/>
        <v>0.20833333333333331</v>
      </c>
      <c r="E34" s="73" t="s">
        <v>108</v>
      </c>
    </row>
    <row r="35" spans="1:5" ht="15.6" x14ac:dyDescent="0.25">
      <c r="A35" s="42">
        <v>44987</v>
      </c>
      <c r="B35" s="79">
        <v>0.41666666666666669</v>
      </c>
      <c r="C35" s="79">
        <v>0.625</v>
      </c>
      <c r="D35" s="46">
        <f t="shared" si="0"/>
        <v>0.20833333333333331</v>
      </c>
      <c r="E35" s="74" t="s">
        <v>109</v>
      </c>
    </row>
    <row r="36" spans="1:5" ht="15.6" x14ac:dyDescent="0.25">
      <c r="A36" s="42">
        <v>44988</v>
      </c>
      <c r="B36" s="79">
        <v>0.41666666666666669</v>
      </c>
      <c r="C36" s="79">
        <v>0.625</v>
      </c>
      <c r="D36" s="46">
        <f t="shared" si="0"/>
        <v>0.20833333333333331</v>
      </c>
      <c r="E36" s="73" t="s">
        <v>104</v>
      </c>
    </row>
    <row r="37" spans="1:5" ht="15.6" x14ac:dyDescent="0.25">
      <c r="A37" s="43">
        <v>44989</v>
      </c>
      <c r="B37" s="79">
        <v>0</v>
      </c>
      <c r="C37" s="79">
        <v>0</v>
      </c>
      <c r="D37" s="46">
        <f t="shared" si="0"/>
        <v>0</v>
      </c>
      <c r="E37" s="74"/>
    </row>
    <row r="38" spans="1:5" ht="15.6" x14ac:dyDescent="0.25">
      <c r="A38" s="43">
        <v>44990</v>
      </c>
      <c r="B38" s="79">
        <v>0</v>
      </c>
      <c r="C38" s="79">
        <v>0</v>
      </c>
      <c r="D38" s="46">
        <f t="shared" si="0"/>
        <v>0</v>
      </c>
      <c r="E38" s="73"/>
    </row>
    <row r="39" spans="1:5" ht="15.6" x14ac:dyDescent="0.25">
      <c r="A39" s="42">
        <v>44991</v>
      </c>
      <c r="B39" s="79">
        <v>0.41666666666666669</v>
      </c>
      <c r="C39" s="79">
        <v>0.625</v>
      </c>
      <c r="D39" s="46">
        <f t="shared" si="0"/>
        <v>0.20833333333333331</v>
      </c>
      <c r="E39" s="74" t="s">
        <v>110</v>
      </c>
    </row>
    <row r="40" spans="1:5" ht="15.6" x14ac:dyDescent="0.25">
      <c r="A40" s="42">
        <v>44992</v>
      </c>
      <c r="B40" s="79">
        <v>0.41666666666666669</v>
      </c>
      <c r="C40" s="79">
        <v>0.625</v>
      </c>
      <c r="D40" s="46">
        <f t="shared" si="0"/>
        <v>0.20833333333333331</v>
      </c>
      <c r="E40" s="73" t="s">
        <v>111</v>
      </c>
    </row>
    <row r="41" spans="1:5" ht="15.6" x14ac:dyDescent="0.25">
      <c r="A41" s="42">
        <v>44993</v>
      </c>
      <c r="B41" s="79">
        <v>0.5</v>
      </c>
      <c r="C41" s="79">
        <v>0.625</v>
      </c>
      <c r="D41" s="46">
        <f t="shared" si="0"/>
        <v>0.125</v>
      </c>
      <c r="E41" s="74" t="s">
        <v>112</v>
      </c>
    </row>
    <row r="42" spans="1:5" ht="15.6" x14ac:dyDescent="0.25">
      <c r="A42" s="42">
        <v>44994</v>
      </c>
      <c r="B42" s="79">
        <v>0.41666666666666669</v>
      </c>
      <c r="C42" s="79">
        <v>0.625</v>
      </c>
      <c r="D42" s="46">
        <f t="shared" si="0"/>
        <v>0.20833333333333331</v>
      </c>
      <c r="E42" s="73" t="s">
        <v>113</v>
      </c>
    </row>
    <row r="43" spans="1:5" ht="15.6" x14ac:dyDescent="0.25">
      <c r="A43" s="42">
        <v>44995</v>
      </c>
      <c r="B43" s="79">
        <v>0.41666666666666669</v>
      </c>
      <c r="C43" s="79">
        <v>0.54166666666666663</v>
      </c>
      <c r="D43" s="46">
        <f t="shared" si="0"/>
        <v>0.12499999999999994</v>
      </c>
      <c r="E43" s="74" t="s">
        <v>114</v>
      </c>
    </row>
    <row r="44" spans="1:5" ht="15.6" x14ac:dyDescent="0.25">
      <c r="A44" s="43">
        <v>44996</v>
      </c>
      <c r="B44" s="79">
        <v>0</v>
      </c>
      <c r="C44" s="79">
        <v>0</v>
      </c>
      <c r="D44" s="46">
        <f t="shared" si="0"/>
        <v>0</v>
      </c>
      <c r="E44" s="73"/>
    </row>
    <row r="45" spans="1:5" ht="15.6" x14ac:dyDescent="0.25">
      <c r="A45" s="43">
        <v>44997</v>
      </c>
      <c r="B45" s="79">
        <v>0</v>
      </c>
      <c r="C45" s="79">
        <v>0</v>
      </c>
      <c r="D45" s="46">
        <f t="shared" si="0"/>
        <v>0</v>
      </c>
      <c r="E45" s="74"/>
    </row>
    <row r="46" spans="1:5" ht="15.6" x14ac:dyDescent="0.25">
      <c r="A46" s="42">
        <v>44998</v>
      </c>
      <c r="B46" s="79">
        <v>0.70833333333333337</v>
      </c>
      <c r="C46" s="79">
        <v>0.875</v>
      </c>
      <c r="D46" s="46">
        <f t="shared" si="0"/>
        <v>0.16666666666666663</v>
      </c>
      <c r="E46" s="73" t="s">
        <v>115</v>
      </c>
    </row>
    <row r="47" spans="1:5" ht="15.6" x14ac:dyDescent="0.25">
      <c r="A47" s="42">
        <v>44999</v>
      </c>
      <c r="B47" s="79">
        <v>0.70833333333333337</v>
      </c>
      <c r="C47" s="79">
        <v>0.83333333333333337</v>
      </c>
      <c r="D47" s="46">
        <f t="shared" si="0"/>
        <v>0.125</v>
      </c>
      <c r="E47" s="74" t="s">
        <v>115</v>
      </c>
    </row>
    <row r="48" spans="1:5" ht="15.6" x14ac:dyDescent="0.25">
      <c r="A48" s="42">
        <v>45000</v>
      </c>
      <c r="B48" s="79">
        <v>0.70833333333333337</v>
      </c>
      <c r="C48" s="79">
        <v>0.83333333333333337</v>
      </c>
      <c r="D48" s="46">
        <f t="shared" si="0"/>
        <v>0.125</v>
      </c>
      <c r="E48" s="73" t="s">
        <v>116</v>
      </c>
    </row>
    <row r="49" spans="1:5" ht="15.6" x14ac:dyDescent="0.25">
      <c r="A49" s="42">
        <v>45001</v>
      </c>
      <c r="B49" s="79">
        <v>0.70833333333333337</v>
      </c>
      <c r="C49" s="79">
        <v>0.83333333333333337</v>
      </c>
      <c r="D49" s="46">
        <f t="shared" si="0"/>
        <v>0.125</v>
      </c>
      <c r="E49" s="74" t="s">
        <v>116</v>
      </c>
    </row>
    <row r="50" spans="1:5" ht="15.6" x14ac:dyDescent="0.25">
      <c r="A50" s="42">
        <v>45002</v>
      </c>
      <c r="B50" s="79">
        <v>0.70833333333333337</v>
      </c>
      <c r="C50" s="79">
        <v>0.83333333333333337</v>
      </c>
      <c r="D50" s="46">
        <f t="shared" si="0"/>
        <v>0.125</v>
      </c>
      <c r="E50" s="73" t="s">
        <v>117</v>
      </c>
    </row>
    <row r="51" spans="1:5" ht="15.6" x14ac:dyDescent="0.25">
      <c r="A51" s="43">
        <v>45003</v>
      </c>
      <c r="B51" s="79">
        <v>0</v>
      </c>
      <c r="C51" s="79">
        <v>0</v>
      </c>
      <c r="D51" s="46">
        <f t="shared" si="0"/>
        <v>0</v>
      </c>
      <c r="E51" s="74"/>
    </row>
    <row r="52" spans="1:5" ht="15.6" x14ac:dyDescent="0.25">
      <c r="A52" s="43">
        <v>45004</v>
      </c>
      <c r="B52" s="79">
        <v>0</v>
      </c>
      <c r="C52" s="79">
        <v>0</v>
      </c>
      <c r="D52" s="46">
        <f t="shared" si="0"/>
        <v>0</v>
      </c>
      <c r="E52" s="73"/>
    </row>
    <row r="53" spans="1:5" ht="15.6" x14ac:dyDescent="0.25">
      <c r="A53" s="44">
        <v>45005</v>
      </c>
      <c r="B53" s="79">
        <v>0</v>
      </c>
      <c r="C53" s="79">
        <v>0</v>
      </c>
      <c r="D53" s="46">
        <f t="shared" si="0"/>
        <v>0</v>
      </c>
      <c r="E53" s="74"/>
    </row>
    <row r="54" spans="1:5" ht="15.6" x14ac:dyDescent="0.25">
      <c r="A54" s="42">
        <v>45006</v>
      </c>
      <c r="B54" s="79">
        <v>0.70833333333333337</v>
      </c>
      <c r="C54" s="79">
        <v>0.81944444444444453</v>
      </c>
      <c r="D54" s="46">
        <f t="shared" si="0"/>
        <v>0.11111111111111116</v>
      </c>
      <c r="E54" s="73" t="s">
        <v>118</v>
      </c>
    </row>
    <row r="55" spans="1:5" ht="15.6" x14ac:dyDescent="0.25">
      <c r="A55" s="42">
        <v>45007</v>
      </c>
      <c r="B55" s="79">
        <v>0.71875</v>
      </c>
      <c r="C55" s="79">
        <v>0.86111111111111116</v>
      </c>
      <c r="D55" s="46">
        <f t="shared" si="0"/>
        <v>0.14236111111111116</v>
      </c>
      <c r="E55" s="74" t="s">
        <v>119</v>
      </c>
    </row>
    <row r="56" spans="1:5" ht="15.6" x14ac:dyDescent="0.25">
      <c r="A56" s="42">
        <v>45008</v>
      </c>
      <c r="B56" s="79">
        <v>0.72222222222222221</v>
      </c>
      <c r="C56" s="79">
        <v>0.89583333333333337</v>
      </c>
      <c r="D56" s="46">
        <f t="shared" si="0"/>
        <v>0.17361111111111116</v>
      </c>
      <c r="E56" s="73" t="s">
        <v>120</v>
      </c>
    </row>
    <row r="57" spans="1:5" ht="15.6" x14ac:dyDescent="0.25">
      <c r="A57" s="42">
        <v>45009</v>
      </c>
      <c r="B57" s="79">
        <v>0.41666666666666669</v>
      </c>
      <c r="C57" s="79">
        <v>0.54166666666666663</v>
      </c>
      <c r="D57" s="46">
        <f t="shared" si="0"/>
        <v>0.12499999999999994</v>
      </c>
      <c r="E57" s="74" t="s">
        <v>121</v>
      </c>
    </row>
    <row r="58" spans="1:5" ht="15.6" x14ac:dyDescent="0.25">
      <c r="A58" s="43">
        <v>45010</v>
      </c>
      <c r="B58" s="79">
        <v>0</v>
      </c>
      <c r="C58" s="79">
        <v>0</v>
      </c>
      <c r="D58" s="46">
        <f t="shared" si="0"/>
        <v>0</v>
      </c>
      <c r="E58" s="73"/>
    </row>
    <row r="59" spans="1:5" ht="15.6" x14ac:dyDescent="0.25">
      <c r="A59" s="43">
        <v>45011</v>
      </c>
      <c r="B59" s="79">
        <v>0</v>
      </c>
      <c r="C59" s="79">
        <v>0</v>
      </c>
      <c r="D59" s="46">
        <f t="shared" si="0"/>
        <v>0</v>
      </c>
      <c r="E59" s="74"/>
    </row>
    <row r="60" spans="1:5" ht="15.6" x14ac:dyDescent="0.25">
      <c r="A60" s="42">
        <v>45012</v>
      </c>
      <c r="B60" s="79">
        <v>0.625</v>
      </c>
      <c r="C60" s="79">
        <v>0.77777777777777779</v>
      </c>
      <c r="D60" s="46">
        <f t="shared" si="0"/>
        <v>0.15277777777777779</v>
      </c>
      <c r="E60" s="73" t="s">
        <v>122</v>
      </c>
    </row>
    <row r="61" spans="1:5" ht="15.6" x14ac:dyDescent="0.25">
      <c r="A61" s="42">
        <v>45013</v>
      </c>
      <c r="B61" s="79">
        <v>0.66666666666666663</v>
      </c>
      <c r="C61" s="79">
        <v>0.875</v>
      </c>
      <c r="D61" s="46">
        <f t="shared" si="0"/>
        <v>0.20833333333333337</v>
      </c>
      <c r="E61" s="74" t="s">
        <v>122</v>
      </c>
    </row>
    <row r="62" spans="1:5" ht="15.6" x14ac:dyDescent="0.25">
      <c r="A62" s="42">
        <v>45014</v>
      </c>
      <c r="B62" s="79">
        <v>0.70833333333333337</v>
      </c>
      <c r="C62" s="79">
        <v>0.76388888888888884</v>
      </c>
      <c r="D62" s="46">
        <f t="shared" si="0"/>
        <v>5.5555555555555469E-2</v>
      </c>
      <c r="E62" s="73" t="s">
        <v>123</v>
      </c>
    </row>
    <row r="63" spans="1:5" ht="15.6" x14ac:dyDescent="0.25">
      <c r="A63" s="42">
        <v>45015</v>
      </c>
      <c r="B63" s="79">
        <v>0.41666666666666669</v>
      </c>
      <c r="C63" s="79">
        <v>0.625</v>
      </c>
      <c r="D63" s="46">
        <f t="shared" si="0"/>
        <v>0.20833333333333331</v>
      </c>
      <c r="E63" s="74" t="s">
        <v>123</v>
      </c>
    </row>
    <row r="64" spans="1:5" ht="15.6" x14ac:dyDescent="0.25">
      <c r="A64" s="42">
        <v>45016</v>
      </c>
      <c r="B64" s="79">
        <v>0</v>
      </c>
      <c r="C64" s="79">
        <v>0</v>
      </c>
      <c r="D64" s="46">
        <f t="shared" si="0"/>
        <v>0</v>
      </c>
      <c r="E64" s="73"/>
    </row>
    <row r="65" spans="1:6" ht="15.6" x14ac:dyDescent="0.25">
      <c r="A65" s="43">
        <v>45017</v>
      </c>
      <c r="B65" s="79">
        <v>0</v>
      </c>
      <c r="C65" s="79">
        <v>0</v>
      </c>
      <c r="D65" s="46">
        <f t="shared" si="0"/>
        <v>0</v>
      </c>
      <c r="E65" s="74"/>
    </row>
    <row r="66" spans="1:6" ht="15.6" x14ac:dyDescent="0.25">
      <c r="A66" s="43">
        <v>45018</v>
      </c>
      <c r="B66" s="79">
        <v>0</v>
      </c>
      <c r="C66" s="79">
        <v>0</v>
      </c>
      <c r="D66" s="46">
        <f t="shared" si="0"/>
        <v>0</v>
      </c>
      <c r="E66" s="73"/>
    </row>
    <row r="67" spans="1:6" ht="15.6" x14ac:dyDescent="0.25">
      <c r="A67" s="42">
        <v>45019</v>
      </c>
      <c r="B67" s="79">
        <v>0.625</v>
      </c>
      <c r="C67" s="79">
        <v>0.75</v>
      </c>
      <c r="D67" s="46">
        <f t="shared" si="0"/>
        <v>0.125</v>
      </c>
      <c r="E67" s="74" t="s">
        <v>124</v>
      </c>
    </row>
    <row r="68" spans="1:6" ht="15.6" x14ac:dyDescent="0.25">
      <c r="A68" s="42">
        <v>45020</v>
      </c>
      <c r="B68" s="79">
        <v>0.625</v>
      </c>
      <c r="C68" s="79">
        <v>0.77083333333333337</v>
      </c>
      <c r="D68" s="46">
        <f t="shared" ref="D68:D131" si="1">IF(C68="","-",SUM(C68-B68))</f>
        <v>0.14583333333333337</v>
      </c>
      <c r="E68" s="73" t="s">
        <v>125</v>
      </c>
    </row>
    <row r="69" spans="1:6" ht="15.6" x14ac:dyDescent="0.25">
      <c r="A69" s="42">
        <v>45021</v>
      </c>
      <c r="B69" s="79">
        <v>0.375</v>
      </c>
      <c r="C69" s="79">
        <v>0.54166666666666663</v>
      </c>
      <c r="D69" s="46">
        <f t="shared" si="1"/>
        <v>0.16666666666666663</v>
      </c>
      <c r="E69" s="74" t="s">
        <v>126</v>
      </c>
    </row>
    <row r="70" spans="1:6" ht="15.6" x14ac:dyDescent="0.25">
      <c r="A70" s="44">
        <v>45022</v>
      </c>
      <c r="B70" s="79">
        <v>0</v>
      </c>
      <c r="C70" s="79">
        <v>0</v>
      </c>
      <c r="D70" s="46">
        <f t="shared" si="1"/>
        <v>0</v>
      </c>
      <c r="E70" s="73"/>
      <c r="F70" s="248" t="s">
        <v>127</v>
      </c>
    </row>
    <row r="71" spans="1:6" ht="15.6" x14ac:dyDescent="0.25">
      <c r="A71" s="44">
        <v>45023</v>
      </c>
      <c r="B71" s="79">
        <v>4.1666666666666664E-2</v>
      </c>
      <c r="C71" s="79">
        <v>0.16666666666666666</v>
      </c>
      <c r="D71" s="46">
        <f t="shared" si="1"/>
        <v>0.125</v>
      </c>
      <c r="E71" s="74" t="s">
        <v>172</v>
      </c>
      <c r="F71" s="248"/>
    </row>
    <row r="72" spans="1:6" ht="15.6" x14ac:dyDescent="0.25">
      <c r="A72" s="43">
        <v>45024</v>
      </c>
      <c r="B72" s="79">
        <v>0</v>
      </c>
      <c r="C72" s="79">
        <v>0</v>
      </c>
      <c r="D72" s="46">
        <f t="shared" si="1"/>
        <v>0</v>
      </c>
      <c r="E72" s="73"/>
      <c r="F72" s="248"/>
    </row>
    <row r="73" spans="1:6" ht="15.6" x14ac:dyDescent="0.25">
      <c r="A73" s="43">
        <v>45025</v>
      </c>
      <c r="B73" s="79">
        <v>0</v>
      </c>
      <c r="C73" s="79">
        <v>0</v>
      </c>
      <c r="D73" s="46">
        <f t="shared" si="1"/>
        <v>0</v>
      </c>
      <c r="E73" s="74"/>
      <c r="F73" s="248"/>
    </row>
    <row r="74" spans="1:6" ht="15.6" x14ac:dyDescent="0.25">
      <c r="A74" s="44">
        <v>45026</v>
      </c>
      <c r="B74" s="79">
        <v>4.1666666666666664E-2</v>
      </c>
      <c r="C74" s="79">
        <v>0.16666666666666666</v>
      </c>
      <c r="D74" s="46">
        <f t="shared" si="1"/>
        <v>0.125</v>
      </c>
      <c r="E74" s="73" t="s">
        <v>172</v>
      </c>
      <c r="F74" s="248"/>
    </row>
    <row r="75" spans="1:6" ht="15.6" x14ac:dyDescent="0.25">
      <c r="A75" s="44">
        <v>45027</v>
      </c>
      <c r="B75" s="79">
        <v>4.1666666666666664E-2</v>
      </c>
      <c r="C75" s="79">
        <v>0.16666666666666666</v>
      </c>
      <c r="D75" s="46">
        <f t="shared" si="1"/>
        <v>0.125</v>
      </c>
      <c r="E75" s="74" t="s">
        <v>172</v>
      </c>
      <c r="F75" s="248"/>
    </row>
    <row r="76" spans="1:6" ht="15.6" x14ac:dyDescent="0.25">
      <c r="A76" s="44">
        <v>45028</v>
      </c>
      <c r="B76" s="79">
        <v>4.1666666666666664E-2</v>
      </c>
      <c r="C76" s="79">
        <v>0.16666666666666666</v>
      </c>
      <c r="D76" s="46">
        <f t="shared" si="1"/>
        <v>0.125</v>
      </c>
      <c r="E76" s="73" t="s">
        <v>172</v>
      </c>
      <c r="F76" s="248"/>
    </row>
    <row r="77" spans="1:6" ht="15.6" x14ac:dyDescent="0.25">
      <c r="A77" s="44">
        <v>45029</v>
      </c>
      <c r="B77" s="79">
        <v>0.41666666666666669</v>
      </c>
      <c r="C77" s="79">
        <v>0.54166666666666663</v>
      </c>
      <c r="D77" s="46">
        <f t="shared" si="1"/>
        <v>0.12499999999999994</v>
      </c>
      <c r="E77" s="73" t="s">
        <v>128</v>
      </c>
    </row>
    <row r="78" spans="1:6" ht="15.6" x14ac:dyDescent="0.25">
      <c r="A78" s="44">
        <v>45030</v>
      </c>
      <c r="B78" s="79">
        <v>0.39583333333333331</v>
      </c>
      <c r="C78" s="79">
        <v>0.60069444444444442</v>
      </c>
      <c r="D78" s="46">
        <f t="shared" si="1"/>
        <v>0.2048611111111111</v>
      </c>
      <c r="E78" s="73" t="s">
        <v>128</v>
      </c>
    </row>
    <row r="79" spans="1:6" ht="15.6" x14ac:dyDescent="0.25">
      <c r="A79" s="43">
        <v>45031</v>
      </c>
      <c r="B79" s="79">
        <v>0</v>
      </c>
      <c r="C79" s="79">
        <v>0</v>
      </c>
      <c r="D79" s="46">
        <f t="shared" si="1"/>
        <v>0</v>
      </c>
      <c r="E79" s="73"/>
    </row>
    <row r="80" spans="1:6" ht="15.6" x14ac:dyDescent="0.25">
      <c r="A80" s="43">
        <v>45032</v>
      </c>
      <c r="B80" s="79">
        <v>0</v>
      </c>
      <c r="C80" s="79">
        <v>0</v>
      </c>
      <c r="D80" s="46">
        <f t="shared" si="1"/>
        <v>0</v>
      </c>
      <c r="E80" s="73"/>
    </row>
    <row r="81" spans="1:5" ht="15.6" x14ac:dyDescent="0.25">
      <c r="A81" s="42">
        <v>45033</v>
      </c>
      <c r="B81" s="79">
        <v>0</v>
      </c>
      <c r="C81" s="79">
        <v>0</v>
      </c>
      <c r="D81" s="46">
        <f t="shared" si="1"/>
        <v>0</v>
      </c>
      <c r="E81" s="74"/>
    </row>
    <row r="82" spans="1:5" ht="15.6" x14ac:dyDescent="0.25">
      <c r="A82" s="42">
        <v>45034</v>
      </c>
      <c r="B82" s="79">
        <v>0</v>
      </c>
      <c r="C82" s="79">
        <v>0</v>
      </c>
      <c r="D82" s="46">
        <f t="shared" si="1"/>
        <v>0</v>
      </c>
      <c r="E82" s="75"/>
    </row>
    <row r="83" spans="1:5" ht="15.6" x14ac:dyDescent="0.25">
      <c r="A83" s="42">
        <v>45035</v>
      </c>
      <c r="B83" s="79">
        <v>0</v>
      </c>
      <c r="C83" s="79">
        <v>0</v>
      </c>
      <c r="D83" s="46">
        <f t="shared" si="1"/>
        <v>0</v>
      </c>
      <c r="E83" s="75"/>
    </row>
    <row r="84" spans="1:5" ht="15.6" x14ac:dyDescent="0.25">
      <c r="A84" s="42">
        <v>45036</v>
      </c>
      <c r="B84" s="79">
        <v>0</v>
      </c>
      <c r="C84" s="79">
        <v>0</v>
      </c>
      <c r="D84" s="46">
        <f t="shared" si="1"/>
        <v>0</v>
      </c>
      <c r="E84" s="75"/>
    </row>
    <row r="85" spans="1:5" ht="15.6" x14ac:dyDescent="0.25">
      <c r="A85" s="42">
        <v>45037</v>
      </c>
      <c r="B85" s="79">
        <v>0</v>
      </c>
      <c r="C85" s="79">
        <v>0</v>
      </c>
      <c r="D85" s="46">
        <f t="shared" si="1"/>
        <v>0</v>
      </c>
      <c r="E85" s="75"/>
    </row>
    <row r="86" spans="1:5" ht="15.6" x14ac:dyDescent="0.25">
      <c r="A86" s="43">
        <v>45038</v>
      </c>
      <c r="B86" s="79">
        <v>0</v>
      </c>
      <c r="C86" s="79">
        <v>0</v>
      </c>
      <c r="D86" s="46">
        <f t="shared" si="1"/>
        <v>0</v>
      </c>
      <c r="E86" s="75"/>
    </row>
    <row r="87" spans="1:5" ht="15.6" x14ac:dyDescent="0.25">
      <c r="A87" s="43">
        <v>45039</v>
      </c>
      <c r="B87" s="79">
        <v>0</v>
      </c>
      <c r="C87" s="79">
        <v>0</v>
      </c>
      <c r="D87" s="46">
        <f t="shared" si="1"/>
        <v>0</v>
      </c>
      <c r="E87" s="75"/>
    </row>
    <row r="88" spans="1:5" ht="15.6" x14ac:dyDescent="0.25">
      <c r="A88" s="42">
        <v>45040</v>
      </c>
      <c r="B88" s="79">
        <v>0.375</v>
      </c>
      <c r="C88" s="79">
        <v>0.625</v>
      </c>
      <c r="D88" s="46">
        <f t="shared" si="1"/>
        <v>0.25</v>
      </c>
      <c r="E88" s="75" t="s">
        <v>129</v>
      </c>
    </row>
    <row r="89" spans="1:5" ht="15.6" x14ac:dyDescent="0.25">
      <c r="A89" s="42">
        <v>45041</v>
      </c>
      <c r="B89" s="79">
        <v>0.375</v>
      </c>
      <c r="C89" s="79">
        <v>0.625</v>
      </c>
      <c r="D89" s="46">
        <f t="shared" si="1"/>
        <v>0.25</v>
      </c>
      <c r="E89" s="75" t="s">
        <v>129</v>
      </c>
    </row>
    <row r="90" spans="1:5" ht="15.6" x14ac:dyDescent="0.25">
      <c r="A90" s="42">
        <v>45042</v>
      </c>
      <c r="B90" s="79">
        <v>0.375</v>
      </c>
      <c r="C90" s="79">
        <v>0.625</v>
      </c>
      <c r="D90" s="46">
        <f t="shared" si="1"/>
        <v>0.25</v>
      </c>
      <c r="E90" s="75" t="s">
        <v>130</v>
      </c>
    </row>
    <row r="91" spans="1:5" ht="15.6" x14ac:dyDescent="0.25">
      <c r="A91" s="42">
        <v>45043</v>
      </c>
      <c r="B91" s="79">
        <v>0.375</v>
      </c>
      <c r="C91" s="79">
        <v>0.625</v>
      </c>
      <c r="D91" s="46">
        <f t="shared" si="1"/>
        <v>0.25</v>
      </c>
      <c r="E91" s="75" t="s">
        <v>131</v>
      </c>
    </row>
    <row r="92" spans="1:5" ht="15.6" x14ac:dyDescent="0.25">
      <c r="A92" s="42">
        <v>45044</v>
      </c>
      <c r="B92" s="79">
        <v>0.375</v>
      </c>
      <c r="C92" s="79">
        <v>0.625</v>
      </c>
      <c r="D92" s="46">
        <f t="shared" si="1"/>
        <v>0.25</v>
      </c>
      <c r="E92" s="75" t="s">
        <v>120</v>
      </c>
    </row>
    <row r="93" spans="1:5" ht="15.6" x14ac:dyDescent="0.25">
      <c r="A93" s="43">
        <v>45045</v>
      </c>
      <c r="B93" s="79">
        <v>0</v>
      </c>
      <c r="C93" s="79">
        <v>0</v>
      </c>
      <c r="D93" s="46">
        <f t="shared" si="1"/>
        <v>0</v>
      </c>
      <c r="E93" s="75"/>
    </row>
    <row r="94" spans="1:5" ht="15.6" x14ac:dyDescent="0.25">
      <c r="A94" s="43">
        <v>45046</v>
      </c>
      <c r="B94" s="79">
        <v>0</v>
      </c>
      <c r="C94" s="79">
        <v>0</v>
      </c>
      <c r="D94" s="46">
        <f t="shared" si="1"/>
        <v>0</v>
      </c>
      <c r="E94" s="75"/>
    </row>
    <row r="95" spans="1:5" ht="15.6" x14ac:dyDescent="0.25">
      <c r="A95" s="44">
        <v>45047</v>
      </c>
      <c r="B95" s="79">
        <v>0</v>
      </c>
      <c r="C95" s="79">
        <v>0</v>
      </c>
      <c r="D95" s="46">
        <f t="shared" si="1"/>
        <v>0</v>
      </c>
      <c r="E95" s="75"/>
    </row>
    <row r="96" spans="1:5" ht="15.6" x14ac:dyDescent="0.25">
      <c r="A96" s="42">
        <v>45048</v>
      </c>
      <c r="B96" s="79">
        <v>0.66666666666666663</v>
      </c>
      <c r="C96" s="79">
        <v>0.80555555555555547</v>
      </c>
      <c r="D96" s="46">
        <f t="shared" si="1"/>
        <v>0.13888888888888884</v>
      </c>
      <c r="E96" s="75" t="s">
        <v>132</v>
      </c>
    </row>
    <row r="97" spans="1:5" ht="15.6" x14ac:dyDescent="0.25">
      <c r="A97" s="42">
        <v>45049</v>
      </c>
      <c r="B97" s="79">
        <v>0.625</v>
      </c>
      <c r="C97" s="79">
        <v>0.78472222222222221</v>
      </c>
      <c r="D97" s="46">
        <f t="shared" si="1"/>
        <v>0.15972222222222221</v>
      </c>
      <c r="E97" s="75" t="s">
        <v>132</v>
      </c>
    </row>
    <row r="98" spans="1:5" ht="15.6" x14ac:dyDescent="0.25">
      <c r="A98" s="42">
        <v>45050</v>
      </c>
      <c r="B98" s="79">
        <v>0</v>
      </c>
      <c r="C98" s="79">
        <v>0</v>
      </c>
      <c r="D98" s="46">
        <f t="shared" si="1"/>
        <v>0</v>
      </c>
      <c r="E98" s="75"/>
    </row>
    <row r="99" spans="1:5" ht="15.6" x14ac:dyDescent="0.25">
      <c r="A99" s="44">
        <v>45051</v>
      </c>
      <c r="B99" s="79">
        <v>0</v>
      </c>
      <c r="C99" s="79">
        <v>0</v>
      </c>
      <c r="D99" s="46">
        <f t="shared" si="1"/>
        <v>0</v>
      </c>
      <c r="E99" s="75"/>
    </row>
    <row r="100" spans="1:5" ht="15.6" x14ac:dyDescent="0.25">
      <c r="A100" s="43">
        <v>45052</v>
      </c>
      <c r="B100" s="79">
        <v>0</v>
      </c>
      <c r="C100" s="79">
        <v>0</v>
      </c>
      <c r="D100" s="46">
        <f t="shared" si="1"/>
        <v>0</v>
      </c>
      <c r="E100" s="75"/>
    </row>
    <row r="101" spans="1:5" ht="15.6" x14ac:dyDescent="0.25">
      <c r="A101" s="43">
        <v>45053</v>
      </c>
      <c r="B101" s="79">
        <v>0</v>
      </c>
      <c r="C101" s="79">
        <v>0</v>
      </c>
      <c r="D101" s="46">
        <f t="shared" si="1"/>
        <v>0</v>
      </c>
      <c r="E101" s="75"/>
    </row>
    <row r="102" spans="1:5" ht="15.6" x14ac:dyDescent="0.25">
      <c r="A102" s="42">
        <v>45054</v>
      </c>
      <c r="B102" s="79">
        <v>0.66666666666666663</v>
      </c>
      <c r="C102" s="79">
        <v>0.875</v>
      </c>
      <c r="D102" s="46">
        <f t="shared" si="1"/>
        <v>0.20833333333333337</v>
      </c>
      <c r="E102" s="75" t="s">
        <v>133</v>
      </c>
    </row>
    <row r="103" spans="1:5" ht="15.6" x14ac:dyDescent="0.25">
      <c r="A103" s="42">
        <v>45055</v>
      </c>
      <c r="B103" s="79">
        <v>0.625</v>
      </c>
      <c r="C103" s="79">
        <v>0.75</v>
      </c>
      <c r="D103" s="46">
        <f t="shared" si="1"/>
        <v>0.125</v>
      </c>
      <c r="E103" s="75" t="s">
        <v>134</v>
      </c>
    </row>
    <row r="104" spans="1:5" ht="15.6" x14ac:dyDescent="0.25">
      <c r="A104" s="42">
        <v>45056</v>
      </c>
      <c r="B104" s="79">
        <v>0.625</v>
      </c>
      <c r="C104" s="79">
        <v>0.77777777777777779</v>
      </c>
      <c r="D104" s="46">
        <f t="shared" si="1"/>
        <v>0.15277777777777779</v>
      </c>
      <c r="E104" s="75" t="s">
        <v>135</v>
      </c>
    </row>
    <row r="105" spans="1:5" ht="15.6" x14ac:dyDescent="0.25">
      <c r="A105" s="42">
        <v>45057</v>
      </c>
      <c r="B105" s="79">
        <v>0.64236111111111105</v>
      </c>
      <c r="C105" s="79">
        <v>0.82638888888888884</v>
      </c>
      <c r="D105" s="46">
        <f t="shared" si="1"/>
        <v>0.18402777777777779</v>
      </c>
      <c r="E105" s="75" t="s">
        <v>135</v>
      </c>
    </row>
    <row r="106" spans="1:5" ht="15.6" x14ac:dyDescent="0.25">
      <c r="A106" s="42">
        <v>45058</v>
      </c>
      <c r="B106" s="79">
        <v>0.625</v>
      </c>
      <c r="C106" s="79">
        <v>0.74305555555555547</v>
      </c>
      <c r="D106" s="46">
        <f t="shared" si="1"/>
        <v>0.11805555555555547</v>
      </c>
      <c r="E106" s="75" t="s">
        <v>135</v>
      </c>
    </row>
    <row r="107" spans="1:5" ht="15.6" x14ac:dyDescent="0.25">
      <c r="A107" s="43">
        <v>45059</v>
      </c>
      <c r="B107" s="79">
        <v>0</v>
      </c>
      <c r="C107" s="79">
        <v>0</v>
      </c>
      <c r="D107" s="46">
        <f t="shared" si="1"/>
        <v>0</v>
      </c>
      <c r="E107" s="75"/>
    </row>
    <row r="108" spans="1:5" ht="15.6" x14ac:dyDescent="0.25">
      <c r="A108" s="43">
        <v>45060</v>
      </c>
      <c r="B108" s="79">
        <v>0</v>
      </c>
      <c r="C108" s="79">
        <v>0</v>
      </c>
      <c r="D108" s="46">
        <f t="shared" si="1"/>
        <v>0</v>
      </c>
      <c r="E108" s="75"/>
    </row>
    <row r="109" spans="1:5" ht="15.6" x14ac:dyDescent="0.25">
      <c r="A109" s="42">
        <v>45061</v>
      </c>
      <c r="B109" s="79">
        <v>0.375</v>
      </c>
      <c r="C109" s="79">
        <v>0.58333333333333337</v>
      </c>
      <c r="D109" s="46">
        <f t="shared" si="1"/>
        <v>0.20833333333333337</v>
      </c>
      <c r="E109" s="76" t="s">
        <v>136</v>
      </c>
    </row>
    <row r="110" spans="1:5" ht="15.6" x14ac:dyDescent="0.25">
      <c r="A110" s="42">
        <v>45062</v>
      </c>
      <c r="B110" s="79">
        <v>0.375</v>
      </c>
      <c r="C110" s="79">
        <v>0.58333333333333337</v>
      </c>
      <c r="D110" s="46">
        <f t="shared" si="1"/>
        <v>0.20833333333333337</v>
      </c>
      <c r="E110" s="76" t="s">
        <v>136</v>
      </c>
    </row>
    <row r="111" spans="1:5" ht="15.6" x14ac:dyDescent="0.25">
      <c r="A111" s="42">
        <v>45063</v>
      </c>
      <c r="B111" s="79">
        <v>0.375</v>
      </c>
      <c r="C111" s="79">
        <v>0.58333333333333337</v>
      </c>
      <c r="D111" s="46">
        <f t="shared" si="1"/>
        <v>0.20833333333333337</v>
      </c>
      <c r="E111" s="76" t="s">
        <v>136</v>
      </c>
    </row>
    <row r="112" spans="1:5" ht="15.6" x14ac:dyDescent="0.25">
      <c r="A112" s="42">
        <v>45064</v>
      </c>
      <c r="B112" s="79">
        <v>0.375</v>
      </c>
      <c r="C112" s="79">
        <v>0.58333333333333337</v>
      </c>
      <c r="D112" s="46">
        <f t="shared" si="1"/>
        <v>0.20833333333333337</v>
      </c>
      <c r="E112" s="75" t="s">
        <v>137</v>
      </c>
    </row>
    <row r="113" spans="1:5" ht="15.6" x14ac:dyDescent="0.25">
      <c r="A113" s="42">
        <v>45065</v>
      </c>
      <c r="B113" s="79">
        <v>0.375</v>
      </c>
      <c r="C113" s="79">
        <v>0.58333333333333337</v>
      </c>
      <c r="D113" s="46">
        <f t="shared" si="1"/>
        <v>0.20833333333333337</v>
      </c>
      <c r="E113" s="75" t="s">
        <v>137</v>
      </c>
    </row>
    <row r="114" spans="1:5" ht="15.6" x14ac:dyDescent="0.25">
      <c r="A114" s="43">
        <v>45066</v>
      </c>
      <c r="B114" s="79">
        <v>0.41666666666666669</v>
      </c>
      <c r="C114" s="79">
        <v>0.54166666666666663</v>
      </c>
      <c r="D114" s="46">
        <f t="shared" si="1"/>
        <v>0.12499999999999994</v>
      </c>
      <c r="E114" s="75" t="s">
        <v>135</v>
      </c>
    </row>
    <row r="115" spans="1:5" ht="15.6" x14ac:dyDescent="0.25">
      <c r="A115" s="43">
        <v>45067</v>
      </c>
      <c r="B115" s="79">
        <v>0</v>
      </c>
      <c r="C115" s="79">
        <v>0</v>
      </c>
      <c r="D115" s="46">
        <f t="shared" si="1"/>
        <v>0</v>
      </c>
      <c r="E115" s="75"/>
    </row>
    <row r="116" spans="1:5" ht="15.6" x14ac:dyDescent="0.25">
      <c r="A116" s="42">
        <v>45068</v>
      </c>
      <c r="B116" s="79">
        <v>0.58333333333333337</v>
      </c>
      <c r="C116" s="79">
        <v>0.77083333333333337</v>
      </c>
      <c r="D116" s="46">
        <f t="shared" si="1"/>
        <v>0.1875</v>
      </c>
      <c r="E116" s="75" t="s">
        <v>138</v>
      </c>
    </row>
    <row r="117" spans="1:5" ht="15.6" x14ac:dyDescent="0.25">
      <c r="A117" s="42">
        <v>45069</v>
      </c>
      <c r="B117" s="79">
        <v>0.41666666666666669</v>
      </c>
      <c r="C117" s="79">
        <v>0.58333333333333337</v>
      </c>
      <c r="D117" s="46">
        <f t="shared" si="1"/>
        <v>0.16666666666666669</v>
      </c>
      <c r="E117" s="75" t="s">
        <v>138</v>
      </c>
    </row>
    <row r="118" spans="1:5" ht="15.6" x14ac:dyDescent="0.25">
      <c r="A118" s="42">
        <v>45070</v>
      </c>
      <c r="B118" s="79">
        <v>0.41666666666666669</v>
      </c>
      <c r="C118" s="79">
        <v>0.625</v>
      </c>
      <c r="D118" s="46">
        <f t="shared" si="1"/>
        <v>0.20833333333333331</v>
      </c>
      <c r="E118" s="75" t="s">
        <v>139</v>
      </c>
    </row>
    <row r="119" spans="1:5" ht="15.6" x14ac:dyDescent="0.25">
      <c r="A119" s="42">
        <v>45071</v>
      </c>
      <c r="B119" s="79">
        <v>0.375</v>
      </c>
      <c r="C119" s="79">
        <v>0.75</v>
      </c>
      <c r="D119" s="46">
        <f t="shared" si="1"/>
        <v>0.375</v>
      </c>
      <c r="E119" s="75" t="s">
        <v>140</v>
      </c>
    </row>
    <row r="120" spans="1:5" ht="15.6" x14ac:dyDescent="0.25">
      <c r="A120" s="42">
        <v>45072</v>
      </c>
      <c r="B120" s="79">
        <v>0</v>
      </c>
      <c r="C120" s="79">
        <v>0</v>
      </c>
      <c r="D120" s="46">
        <f t="shared" si="1"/>
        <v>0</v>
      </c>
      <c r="E120" s="75" t="s">
        <v>261</v>
      </c>
    </row>
    <row r="121" spans="1:5" ht="15.6" x14ac:dyDescent="0.25">
      <c r="A121" s="43">
        <v>45073</v>
      </c>
      <c r="B121" s="79">
        <v>0</v>
      </c>
      <c r="C121" s="79">
        <v>0</v>
      </c>
      <c r="D121" s="46">
        <f t="shared" si="1"/>
        <v>0</v>
      </c>
      <c r="E121" s="75"/>
    </row>
    <row r="122" spans="1:5" ht="15.6" x14ac:dyDescent="0.25">
      <c r="A122" s="43">
        <v>45074</v>
      </c>
      <c r="B122" s="79">
        <v>0</v>
      </c>
      <c r="C122" s="79">
        <v>0</v>
      </c>
      <c r="D122" s="46">
        <f t="shared" si="1"/>
        <v>0</v>
      </c>
      <c r="E122" s="75"/>
    </row>
    <row r="123" spans="1:5" ht="15.6" x14ac:dyDescent="0.25">
      <c r="A123" s="42">
        <v>45075</v>
      </c>
      <c r="B123" s="79">
        <v>0.625</v>
      </c>
      <c r="C123" s="79">
        <v>0.79166666666666663</v>
      </c>
      <c r="D123" s="46">
        <f t="shared" si="1"/>
        <v>0.16666666666666663</v>
      </c>
      <c r="E123" s="75" t="s">
        <v>264</v>
      </c>
    </row>
    <row r="124" spans="1:5" ht="15.6" x14ac:dyDescent="0.25">
      <c r="A124" s="42">
        <v>45076</v>
      </c>
      <c r="B124" s="79">
        <v>0.41666666666666669</v>
      </c>
      <c r="C124" s="79">
        <v>0.625</v>
      </c>
      <c r="D124" s="46">
        <f t="shared" si="1"/>
        <v>0.20833333333333331</v>
      </c>
      <c r="E124" s="75" t="s">
        <v>262</v>
      </c>
    </row>
    <row r="125" spans="1:5" ht="15.6" x14ac:dyDescent="0.25">
      <c r="A125" s="42">
        <v>45077</v>
      </c>
      <c r="B125" s="79">
        <v>0.5</v>
      </c>
      <c r="C125" s="79">
        <v>0.91666666666666663</v>
      </c>
      <c r="D125" s="46">
        <f t="shared" si="1"/>
        <v>0.41666666666666663</v>
      </c>
      <c r="E125" s="75" t="s">
        <v>265</v>
      </c>
    </row>
    <row r="126" spans="1:5" ht="15.6" x14ac:dyDescent="0.25">
      <c r="A126" s="42">
        <v>45078</v>
      </c>
      <c r="B126" s="79">
        <v>0.41666666666666669</v>
      </c>
      <c r="C126" s="79">
        <v>0.70833333333333337</v>
      </c>
      <c r="D126" s="46">
        <f t="shared" si="1"/>
        <v>0.29166666666666669</v>
      </c>
      <c r="E126" s="75" t="s">
        <v>263</v>
      </c>
    </row>
    <row r="127" spans="1:5" ht="15.6" x14ac:dyDescent="0.25">
      <c r="A127" s="42">
        <v>45079</v>
      </c>
      <c r="B127" s="79">
        <v>0</v>
      </c>
      <c r="C127" s="79">
        <v>0</v>
      </c>
      <c r="D127" s="46">
        <f t="shared" si="1"/>
        <v>0</v>
      </c>
      <c r="E127" s="75"/>
    </row>
    <row r="128" spans="1:5" ht="15.6" x14ac:dyDescent="0.25">
      <c r="A128" s="43">
        <v>45080</v>
      </c>
      <c r="B128" s="79">
        <v>0</v>
      </c>
      <c r="C128" s="79">
        <v>0</v>
      </c>
      <c r="D128" s="46">
        <f t="shared" si="1"/>
        <v>0</v>
      </c>
      <c r="E128" s="75"/>
    </row>
    <row r="129" spans="1:5" ht="15.6" x14ac:dyDescent="0.25">
      <c r="A129" s="43">
        <v>45081</v>
      </c>
      <c r="B129" s="79">
        <v>0</v>
      </c>
      <c r="C129" s="79">
        <v>0</v>
      </c>
      <c r="D129" s="46">
        <f t="shared" si="1"/>
        <v>0</v>
      </c>
      <c r="E129" s="75"/>
    </row>
    <row r="130" spans="1:5" ht="15.6" x14ac:dyDescent="0.25">
      <c r="A130" s="42">
        <v>45082</v>
      </c>
      <c r="B130" s="79">
        <v>0</v>
      </c>
      <c r="C130" s="79">
        <v>0</v>
      </c>
      <c r="D130" s="46">
        <f t="shared" si="1"/>
        <v>0</v>
      </c>
      <c r="E130" s="75"/>
    </row>
    <row r="131" spans="1:5" ht="15.6" x14ac:dyDescent="0.25">
      <c r="A131" s="42">
        <v>45083</v>
      </c>
      <c r="B131" s="79">
        <v>0</v>
      </c>
      <c r="C131" s="79">
        <v>0</v>
      </c>
      <c r="D131" s="46">
        <f t="shared" si="1"/>
        <v>0</v>
      </c>
      <c r="E131" s="75"/>
    </row>
    <row r="132" spans="1:5" ht="15.6" x14ac:dyDescent="0.25">
      <c r="A132" s="42">
        <v>45084</v>
      </c>
      <c r="B132" s="79">
        <v>0</v>
      </c>
      <c r="C132" s="79">
        <v>0</v>
      </c>
      <c r="D132" s="46">
        <f t="shared" ref="D132:D151" si="2">IF(C132="","-",SUM(C132-B132))</f>
        <v>0</v>
      </c>
      <c r="E132" s="75"/>
    </row>
    <row r="133" spans="1:5" ht="15.6" x14ac:dyDescent="0.25">
      <c r="A133" s="42">
        <v>45085</v>
      </c>
      <c r="B133" s="79">
        <v>0</v>
      </c>
      <c r="C133" s="79">
        <v>0</v>
      </c>
      <c r="D133" s="46">
        <f t="shared" si="2"/>
        <v>0</v>
      </c>
      <c r="E133" s="75"/>
    </row>
    <row r="134" spans="1:5" ht="15.6" x14ac:dyDescent="0.25">
      <c r="A134" s="42">
        <v>45086</v>
      </c>
      <c r="B134" s="79">
        <v>0</v>
      </c>
      <c r="C134" s="79">
        <v>0</v>
      </c>
      <c r="D134" s="46">
        <f t="shared" si="2"/>
        <v>0</v>
      </c>
      <c r="E134" s="75"/>
    </row>
    <row r="135" spans="1:5" ht="15.6" x14ac:dyDescent="0.25">
      <c r="A135" s="43">
        <v>45087</v>
      </c>
      <c r="B135" s="79">
        <v>0</v>
      </c>
      <c r="C135" s="79">
        <v>0</v>
      </c>
      <c r="D135" s="46">
        <f t="shared" si="2"/>
        <v>0</v>
      </c>
      <c r="E135" s="75"/>
    </row>
    <row r="136" spans="1:5" ht="15.6" x14ac:dyDescent="0.25">
      <c r="A136" s="43">
        <v>45088</v>
      </c>
      <c r="B136" s="79">
        <v>0</v>
      </c>
      <c r="C136" s="79">
        <v>0</v>
      </c>
      <c r="D136" s="46">
        <f t="shared" si="2"/>
        <v>0</v>
      </c>
      <c r="E136" s="75"/>
    </row>
    <row r="137" spans="1:5" ht="15.6" x14ac:dyDescent="0.25">
      <c r="A137" s="42">
        <v>45089</v>
      </c>
      <c r="B137" s="79">
        <v>0</v>
      </c>
      <c r="C137" s="79">
        <v>0</v>
      </c>
      <c r="D137" s="46">
        <f t="shared" si="2"/>
        <v>0</v>
      </c>
      <c r="E137" s="75"/>
    </row>
    <row r="138" spans="1:5" ht="15.6" x14ac:dyDescent="0.25">
      <c r="A138" s="42">
        <v>45090</v>
      </c>
      <c r="B138" s="79">
        <v>0</v>
      </c>
      <c r="C138" s="79">
        <v>0</v>
      </c>
      <c r="D138" s="46">
        <f t="shared" si="2"/>
        <v>0</v>
      </c>
      <c r="E138" s="75"/>
    </row>
    <row r="139" spans="1:5" ht="15.6" x14ac:dyDescent="0.25">
      <c r="A139" s="42">
        <v>45091</v>
      </c>
      <c r="B139" s="79">
        <v>0</v>
      </c>
      <c r="C139" s="79">
        <v>0</v>
      </c>
      <c r="D139" s="46">
        <f t="shared" si="2"/>
        <v>0</v>
      </c>
      <c r="E139" s="75"/>
    </row>
    <row r="140" spans="1:5" ht="15.6" x14ac:dyDescent="0.25">
      <c r="A140" s="42">
        <v>45092</v>
      </c>
      <c r="B140" s="79">
        <v>0</v>
      </c>
      <c r="C140" s="79">
        <v>0</v>
      </c>
      <c r="D140" s="46">
        <f t="shared" si="2"/>
        <v>0</v>
      </c>
      <c r="E140" s="75"/>
    </row>
    <row r="141" spans="1:5" ht="15.6" x14ac:dyDescent="0.25">
      <c r="A141" s="42">
        <v>45093</v>
      </c>
      <c r="B141" s="79">
        <v>0</v>
      </c>
      <c r="C141" s="79">
        <v>0</v>
      </c>
      <c r="D141" s="46">
        <f t="shared" si="2"/>
        <v>0</v>
      </c>
      <c r="E141" s="75"/>
    </row>
    <row r="142" spans="1:5" ht="15.6" x14ac:dyDescent="0.25">
      <c r="A142" s="43">
        <v>45094</v>
      </c>
      <c r="B142" s="79">
        <v>0</v>
      </c>
      <c r="C142" s="79">
        <v>0</v>
      </c>
      <c r="D142" s="46">
        <f t="shared" si="2"/>
        <v>0</v>
      </c>
      <c r="E142" s="75"/>
    </row>
    <row r="143" spans="1:5" ht="15.6" x14ac:dyDescent="0.25">
      <c r="A143" s="43">
        <v>45095</v>
      </c>
      <c r="B143" s="79">
        <v>0</v>
      </c>
      <c r="C143" s="79">
        <v>0</v>
      </c>
      <c r="D143" s="46">
        <f t="shared" si="2"/>
        <v>0</v>
      </c>
      <c r="E143" s="75"/>
    </row>
    <row r="144" spans="1:5" ht="15.6" x14ac:dyDescent="0.25">
      <c r="A144" s="42">
        <v>45096</v>
      </c>
      <c r="B144" s="79">
        <v>0</v>
      </c>
      <c r="C144" s="79">
        <v>0</v>
      </c>
      <c r="D144" s="46">
        <f t="shared" si="2"/>
        <v>0</v>
      </c>
      <c r="E144" s="75"/>
    </row>
    <row r="145" spans="1:5" ht="15.6" x14ac:dyDescent="0.25">
      <c r="A145" s="42">
        <v>45097</v>
      </c>
      <c r="B145" s="79">
        <v>0</v>
      </c>
      <c r="C145" s="79">
        <v>0</v>
      </c>
      <c r="D145" s="46">
        <f t="shared" si="2"/>
        <v>0</v>
      </c>
      <c r="E145" s="75"/>
    </row>
    <row r="146" spans="1:5" ht="15.6" x14ac:dyDescent="0.25">
      <c r="A146" s="42">
        <v>45098</v>
      </c>
      <c r="B146" s="79">
        <v>0</v>
      </c>
      <c r="C146" s="79">
        <v>0</v>
      </c>
      <c r="D146" s="46">
        <f t="shared" si="2"/>
        <v>0</v>
      </c>
      <c r="E146" s="75"/>
    </row>
    <row r="147" spans="1:5" ht="15.6" x14ac:dyDescent="0.25">
      <c r="A147" s="42">
        <v>45099</v>
      </c>
      <c r="B147" s="79">
        <v>0</v>
      </c>
      <c r="C147" s="79">
        <v>0</v>
      </c>
      <c r="D147" s="46">
        <f t="shared" si="2"/>
        <v>0</v>
      </c>
      <c r="E147" s="75"/>
    </row>
    <row r="148" spans="1:5" ht="15.6" x14ac:dyDescent="0.25">
      <c r="A148" s="42">
        <v>45100</v>
      </c>
      <c r="B148" s="79">
        <v>0</v>
      </c>
      <c r="C148" s="79">
        <v>0</v>
      </c>
      <c r="D148" s="46">
        <f t="shared" si="2"/>
        <v>0</v>
      </c>
      <c r="E148" s="75"/>
    </row>
    <row r="149" spans="1:5" ht="15.6" x14ac:dyDescent="0.25">
      <c r="A149" s="43">
        <v>45101</v>
      </c>
      <c r="B149" s="79">
        <v>0</v>
      </c>
      <c r="C149" s="79">
        <v>0</v>
      </c>
      <c r="D149" s="46">
        <f t="shared" si="2"/>
        <v>0</v>
      </c>
      <c r="E149" s="75"/>
    </row>
    <row r="150" spans="1:5" ht="15.6" x14ac:dyDescent="0.25">
      <c r="A150" s="43">
        <v>45102</v>
      </c>
      <c r="B150" s="79">
        <v>0</v>
      </c>
      <c r="C150" s="79">
        <v>0</v>
      </c>
      <c r="D150" s="46">
        <f t="shared" si="2"/>
        <v>0</v>
      </c>
      <c r="E150" s="75"/>
    </row>
    <row r="151" spans="1:5" ht="15.6" x14ac:dyDescent="0.25">
      <c r="A151" s="45">
        <v>45103</v>
      </c>
      <c r="B151" s="79">
        <v>0</v>
      </c>
      <c r="C151" s="79">
        <v>0</v>
      </c>
      <c r="D151" s="46">
        <f t="shared" si="2"/>
        <v>0</v>
      </c>
      <c r="E151" s="77"/>
    </row>
  </sheetData>
  <mergeCells count="7">
    <mergeCell ref="F70:F76"/>
    <mergeCell ref="A2:A3"/>
    <mergeCell ref="A1:E1"/>
    <mergeCell ref="B2:B3"/>
    <mergeCell ref="C2:C3"/>
    <mergeCell ref="D2:D3"/>
    <mergeCell ref="E2:E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1:I9"/>
  <sheetViews>
    <sheetView workbookViewId="0">
      <selection activeCell="I9" sqref="I9"/>
    </sheetView>
  </sheetViews>
  <sheetFormatPr baseColWidth="10" defaultColWidth="11" defaultRowHeight="13.8" x14ac:dyDescent="0.25"/>
  <cols>
    <col min="1" max="1" width="1" customWidth="1"/>
    <col min="2" max="2" width="28.3984375" customWidth="1"/>
    <col min="4" max="4" width="14.8984375" customWidth="1"/>
    <col min="6" max="6" width="8.296875" customWidth="1"/>
    <col min="7" max="7" width="10" customWidth="1"/>
  </cols>
  <sheetData>
    <row r="1" spans="2:9" ht="4.8" customHeight="1" thickBot="1" x14ac:dyDescent="0.3"/>
    <row r="2" spans="2:9" ht="15.6" x14ac:dyDescent="0.3">
      <c r="B2" s="256" t="s">
        <v>173</v>
      </c>
      <c r="C2" s="257"/>
      <c r="D2" s="257"/>
      <c r="E2" s="258"/>
      <c r="F2" s="256" t="s">
        <v>174</v>
      </c>
      <c r="G2" s="259"/>
      <c r="H2" s="259"/>
      <c r="I2" s="260"/>
    </row>
    <row r="3" spans="2:9" x14ac:dyDescent="0.25">
      <c r="B3" s="265" t="s">
        <v>141</v>
      </c>
      <c r="C3" s="264" t="s">
        <v>142</v>
      </c>
      <c r="D3" s="262" t="s">
        <v>143</v>
      </c>
      <c r="E3" s="263"/>
      <c r="F3" s="261" t="s">
        <v>144</v>
      </c>
      <c r="G3" s="252"/>
      <c r="H3" s="252" t="s">
        <v>4</v>
      </c>
      <c r="I3" s="266"/>
    </row>
    <row r="4" spans="2:9" ht="15" x14ac:dyDescent="0.25">
      <c r="B4" s="265"/>
      <c r="C4" s="264"/>
      <c r="D4" s="83" t="s">
        <v>145</v>
      </c>
      <c r="E4" s="92" t="s">
        <v>146</v>
      </c>
      <c r="F4" s="98" t="s">
        <v>175</v>
      </c>
      <c r="G4" s="95" t="s">
        <v>176</v>
      </c>
      <c r="H4" s="96" t="s">
        <v>147</v>
      </c>
      <c r="I4" s="99" t="s">
        <v>146</v>
      </c>
    </row>
    <row r="5" spans="2:9" ht="15" x14ac:dyDescent="0.25">
      <c r="B5" s="86" t="s">
        <v>148</v>
      </c>
      <c r="C5" s="83">
        <f ca="1">contarColor(B5,'Comparativa - Fechas'!C4:C127)</f>
        <v>79</v>
      </c>
      <c r="D5" s="84">
        <f ca="1">contarDacuerdo($B$5,'Comparativa - Fechas'!$C$4:$C$150)</f>
        <v>78</v>
      </c>
      <c r="E5" s="93">
        <f ca="1">contarDacuerdo($B$5,'Comparativa - Fechas'!$E$4:$E$150)</f>
        <v>70</v>
      </c>
      <c r="F5" s="100">
        <f ca="1">C5*4</f>
        <v>316</v>
      </c>
      <c r="G5" s="85">
        <f ca="1">F5*2</f>
        <v>632</v>
      </c>
      <c r="H5" s="97">
        <f ca="1">contarHoras($B$5,'Comparativa - Fechas'!$C$4:$C$150)</f>
        <v>305.75</v>
      </c>
      <c r="I5" s="101">
        <f ca="1">contarHoras($B$5,'Comparativa - Fechas'!$E$4:$E$150)</f>
        <v>306.33333333333331</v>
      </c>
    </row>
    <row r="6" spans="2:9" ht="15" x14ac:dyDescent="0.25">
      <c r="B6" s="87" t="s">
        <v>149</v>
      </c>
      <c r="C6" s="83">
        <f ca="1">contarColor(B6,'Comparativa - Fechas'!C4:C127)</f>
        <v>11</v>
      </c>
      <c r="D6" s="84">
        <f ca="1">contarDacuerdo($B$6,'Comparativa - Fechas'!$C$4:$C$150)</f>
        <v>2</v>
      </c>
      <c r="E6" s="93">
        <f ca="1">contarDacuerdo($B$6,'Comparativa - Fechas'!$E$4:$E$150)</f>
        <v>7</v>
      </c>
      <c r="F6" s="102">
        <v>0</v>
      </c>
      <c r="G6" s="85">
        <v>0</v>
      </c>
      <c r="H6" s="97">
        <f ca="1">contarHoras($B$6,'Comparativa - Fechas'!$C$4:$C$150)</f>
        <v>9</v>
      </c>
      <c r="I6" s="101">
        <f ca="1">contarHoras($B$6,'Comparativa - Fechas'!$E$4:$E$150)</f>
        <v>23.916666666666664</v>
      </c>
    </row>
    <row r="7" spans="2:9" ht="15" x14ac:dyDescent="0.25">
      <c r="B7" s="88" t="s">
        <v>150</v>
      </c>
      <c r="C7" s="83">
        <f ca="1">contarColor(B7,'Comparativa - Fechas'!C4:C127)</f>
        <v>34</v>
      </c>
      <c r="D7" s="84">
        <f ca="1">contarDacuerdo($B$7,'Comparativa - Fechas'!$C$4:$C$150)</f>
        <v>7</v>
      </c>
      <c r="E7" s="93">
        <f ca="1">contarDacuerdo($B$7,'Comparativa - Fechas'!$E$4:$E$150)</f>
        <v>4</v>
      </c>
      <c r="F7" s="102">
        <v>0</v>
      </c>
      <c r="G7" s="85">
        <v>0</v>
      </c>
      <c r="H7" s="97">
        <f ca="1">contarHoras($B$7,'Comparativa - Fechas'!$C$4:$C$150)</f>
        <v>17</v>
      </c>
      <c r="I7" s="101">
        <f ca="1">contarHoras($B$7,'Comparativa - Fechas'!$E$4:$E$150)</f>
        <v>12.999999999999998</v>
      </c>
    </row>
    <row r="8" spans="2:9" ht="15.6" thickBot="1" x14ac:dyDescent="0.3">
      <c r="B8" s="89" t="s">
        <v>151</v>
      </c>
      <c r="C8" s="90">
        <f ca="1">SUM(C5:C7)</f>
        <v>124</v>
      </c>
      <c r="D8" s="91">
        <f ca="1">SUM(D5:D7)</f>
        <v>87</v>
      </c>
      <c r="E8" s="94">
        <f ca="1">SUM(E5:E7)</f>
        <v>81</v>
      </c>
      <c r="F8" s="100">
        <f ca="1">SUM(F5:F7)</f>
        <v>316</v>
      </c>
      <c r="G8" s="85">
        <f ca="1">SUM(G5:G7)</f>
        <v>632</v>
      </c>
      <c r="H8" s="97">
        <f t="shared" ref="H8:I8" ca="1" si="0">SUM(H5:H7)</f>
        <v>331.75</v>
      </c>
      <c r="I8" s="101">
        <f t="shared" ca="1" si="0"/>
        <v>343.25</v>
      </c>
    </row>
    <row r="9" spans="2:9" ht="15.6" thickBot="1" x14ac:dyDescent="0.3">
      <c r="B9" s="57"/>
      <c r="C9" s="57"/>
      <c r="D9" s="57"/>
      <c r="F9" s="254" t="s">
        <v>152</v>
      </c>
      <c r="G9" s="255"/>
      <c r="H9" s="255"/>
      <c r="I9" s="103">
        <f ca="1">H8+I8</f>
        <v>675</v>
      </c>
    </row>
  </sheetData>
  <mergeCells count="8">
    <mergeCell ref="F9:H9"/>
    <mergeCell ref="B2:E2"/>
    <mergeCell ref="F2:I2"/>
    <mergeCell ref="F3:G3"/>
    <mergeCell ref="D3:E3"/>
    <mergeCell ref="C3:C4"/>
    <mergeCell ref="B3:B4"/>
    <mergeCell ref="H3:I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79"/>
  <sheetViews>
    <sheetView workbookViewId="0">
      <selection activeCell="E4" sqref="E4"/>
    </sheetView>
  </sheetViews>
  <sheetFormatPr baseColWidth="10" defaultColWidth="9" defaultRowHeight="15.6" x14ac:dyDescent="0.3"/>
  <cols>
    <col min="1" max="1" width="14.8984375" style="8" customWidth="1"/>
    <col min="2" max="4" width="10.09765625" style="8" bestFit="1" customWidth="1"/>
    <col min="5" max="5" width="9" style="8"/>
    <col min="6" max="6" width="18.5" style="15" customWidth="1"/>
    <col min="7" max="7" width="14.19921875" style="14" customWidth="1"/>
    <col min="8" max="8" width="15.5" style="8" customWidth="1"/>
    <col min="9" max="9" width="13.59765625" style="9" customWidth="1"/>
    <col min="10" max="10" width="10.8984375" style="9" customWidth="1"/>
    <col min="11" max="11" width="9" style="9"/>
    <col min="12" max="16384" width="9" style="8"/>
  </cols>
  <sheetData>
    <row r="1" spans="1:12" x14ac:dyDescent="0.3">
      <c r="A1" s="267"/>
      <c r="B1" s="275" t="s">
        <v>4</v>
      </c>
      <c r="C1" s="275"/>
      <c r="D1" s="275"/>
      <c r="E1" s="275"/>
      <c r="F1" s="276"/>
      <c r="H1" s="273"/>
      <c r="I1" s="269" t="s">
        <v>141</v>
      </c>
      <c r="J1" s="269"/>
      <c r="K1" s="269"/>
      <c r="L1" s="270"/>
    </row>
    <row r="2" spans="1:12" x14ac:dyDescent="0.3">
      <c r="A2" s="268"/>
      <c r="B2" s="271" t="s">
        <v>3</v>
      </c>
      <c r="C2" s="271"/>
      <c r="D2" s="104" t="s">
        <v>145</v>
      </c>
      <c r="E2" s="104" t="s">
        <v>146</v>
      </c>
      <c r="F2" s="184" t="s">
        <v>152</v>
      </c>
      <c r="H2" s="274"/>
      <c r="I2" s="272" t="s">
        <v>3</v>
      </c>
      <c r="J2" s="272"/>
      <c r="K2" s="81" t="s">
        <v>145</v>
      </c>
      <c r="L2" s="82" t="s">
        <v>146</v>
      </c>
    </row>
    <row r="3" spans="1:12" x14ac:dyDescent="0.3">
      <c r="A3" s="185" t="s">
        <v>154</v>
      </c>
      <c r="B3" s="105">
        <v>44956</v>
      </c>
      <c r="C3" s="106">
        <v>44959</v>
      </c>
      <c r="D3" s="107">
        <f>SUM('Comparativa - Fechas'!$C$4:$C$7)</f>
        <v>12</v>
      </c>
      <c r="E3" s="107">
        <f>SUM('Comparativa - Fechas'!$E$4:$E$7)</f>
        <v>11.999999999999996</v>
      </c>
      <c r="F3" s="186">
        <f>SUM(D3:E3)</f>
        <v>23.999999999999996</v>
      </c>
      <c r="H3" s="185" t="s">
        <v>154</v>
      </c>
      <c r="I3" s="105">
        <v>44956</v>
      </c>
      <c r="J3" s="106">
        <v>44959</v>
      </c>
      <c r="K3" s="107">
        <f>COUNTIF('Comparativa - Fechas'!$C$4:$C$7,"&lt;&gt; 0")</f>
        <v>4</v>
      </c>
      <c r="L3" s="186">
        <f>COUNTIF('Comparativa - Fechas'!E4:E7,"&lt;&gt; 0")</f>
        <v>4</v>
      </c>
    </row>
    <row r="4" spans="1:12" x14ac:dyDescent="0.3">
      <c r="A4" s="185" t="s">
        <v>153</v>
      </c>
      <c r="B4" s="105">
        <f>'Comparativa - Fechas'!$B$4</f>
        <v>44956</v>
      </c>
      <c r="C4" s="106">
        <f>'Comparativa - Fechas'!$B$127</f>
        <v>45079</v>
      </c>
      <c r="D4" s="107">
        <f>SUM('Comparativa - Fechas'!$C$4:$C$127)</f>
        <v>331.75</v>
      </c>
      <c r="E4" s="107">
        <f>SUM('Comparativa - Fechas'!$E$4:$E$127)</f>
        <v>343.25</v>
      </c>
      <c r="F4" s="186">
        <f>SUM(D4:E4)</f>
        <v>675</v>
      </c>
      <c r="H4" s="185" t="s">
        <v>153</v>
      </c>
      <c r="I4" s="105">
        <f>'Comparativa - Fechas'!$B$4</f>
        <v>44956</v>
      </c>
      <c r="J4" s="106">
        <f>'Comparativa - Fechas'!$B$127</f>
        <v>45079</v>
      </c>
      <c r="K4" s="107">
        <f>COUNTIF('Comparativa - Fechas'!$C$4:$C$127,"&lt;&gt; 0")</f>
        <v>87</v>
      </c>
      <c r="L4" s="186">
        <f>COUNTIF('Comparativa - Fechas'!E4:E127,"&lt;&gt; 0")</f>
        <v>81</v>
      </c>
    </row>
    <row r="5" spans="1:12" x14ac:dyDescent="0.3">
      <c r="A5" s="185" t="s">
        <v>178</v>
      </c>
      <c r="B5" s="105">
        <f>'Comparativa - Fechas'!$B$4</f>
        <v>44956</v>
      </c>
      <c r="C5" s="106">
        <f>'Comparativa - Fechas'!$B$102</f>
        <v>45054</v>
      </c>
      <c r="D5" s="183">
        <f>SUM('Comparativa - Fechas'!$C$4:$C$102)</f>
        <v>247.75</v>
      </c>
      <c r="E5" s="183">
        <f>SUM('Comparativa - Fechas'!$E$4:$E$102)</f>
        <v>252.83333333333331</v>
      </c>
      <c r="F5" s="186">
        <f t="shared" ref="F5:F8" si="0">SUM(D5:E5)</f>
        <v>500.58333333333331</v>
      </c>
      <c r="H5" s="185" t="s">
        <v>178</v>
      </c>
      <c r="I5" s="105">
        <f>'Comparativa - Fechas'!$B$4</f>
        <v>44956</v>
      </c>
      <c r="J5" s="106">
        <f>'Comparativa - Fechas'!$B$102</f>
        <v>45054</v>
      </c>
      <c r="K5" s="107">
        <f>COUNTIF('Comparativa - Fechas'!$C$4:$C$102,"&lt;&gt; 0")</f>
        <v>64</v>
      </c>
      <c r="L5" s="186">
        <f>COUNTIF('Comparativa - Fechas'!E4:E102,"&lt;&gt; 0")</f>
        <v>63</v>
      </c>
    </row>
    <row r="6" spans="1:12" x14ac:dyDescent="0.3">
      <c r="A6" s="185" t="s">
        <v>156</v>
      </c>
      <c r="B6" s="105">
        <f>'Comparativa - Fechas'!$B$103</f>
        <v>45055</v>
      </c>
      <c r="C6" s="106">
        <f>'Comparativa - Fechas'!$B$114</f>
        <v>45066</v>
      </c>
      <c r="D6" s="183">
        <f>SUM('Comparativa - Fechas'!$C$103:$C$114)</f>
        <v>37.5</v>
      </c>
      <c r="E6" s="183">
        <f>SUM('Comparativa - Fechas'!$E$103:$E$114)</f>
        <v>41.916666666666664</v>
      </c>
      <c r="F6" s="186">
        <f t="shared" si="0"/>
        <v>79.416666666666657</v>
      </c>
      <c r="H6" s="185" t="s">
        <v>156</v>
      </c>
      <c r="I6" s="105">
        <f>'Comparativa - Fechas'!$B$103</f>
        <v>45055</v>
      </c>
      <c r="J6" s="106">
        <f>'Comparativa - Fechas'!$B$114</f>
        <v>45066</v>
      </c>
      <c r="K6" s="107">
        <f>COUNTIF('Comparativa - Fechas'!$C$103:$C$114,"&lt;&gt; 0")</f>
        <v>10</v>
      </c>
      <c r="L6" s="186">
        <f>COUNTIF('Comparativa - Fechas'!E103:E114,"&lt;&gt; 0")</f>
        <v>10</v>
      </c>
    </row>
    <row r="7" spans="1:12" x14ac:dyDescent="0.3">
      <c r="A7" s="185" t="s">
        <v>157</v>
      </c>
      <c r="B7" s="105">
        <f>'Comparativa - Fechas'!$B$105</f>
        <v>45057</v>
      </c>
      <c r="C7" s="106">
        <f>'Comparativa - Fechas'!$B$118</f>
        <v>45070</v>
      </c>
      <c r="D7" s="183">
        <f>SUM('Comparativa - Fechas'!$C$105:$C$118)</f>
        <v>40.5</v>
      </c>
      <c r="E7" s="183">
        <f>SUM('Comparativa - Fechas'!$E$105:$E$118)</f>
        <v>48.75</v>
      </c>
      <c r="F7" s="186">
        <f t="shared" si="0"/>
        <v>89.25</v>
      </c>
      <c r="H7" s="185" t="s">
        <v>157</v>
      </c>
      <c r="I7" s="105">
        <f>'Comparativa - Fechas'!$B$105</f>
        <v>45057</v>
      </c>
      <c r="J7" s="106">
        <f>'Comparativa - Fechas'!$B$118</f>
        <v>45070</v>
      </c>
      <c r="K7" s="107">
        <f>COUNTIF('Comparativa - Fechas'!$C$105:$C$118,"&lt;&gt; 0")</f>
        <v>12</v>
      </c>
      <c r="L7" s="186">
        <f>COUNTIF('Comparativa - Fechas'!E105:E118,"&lt;&gt; 0")</f>
        <v>11</v>
      </c>
    </row>
    <row r="8" spans="1:12" ht="16.2" thickBot="1" x14ac:dyDescent="0.35">
      <c r="A8" s="187" t="s">
        <v>177</v>
      </c>
      <c r="B8" s="188">
        <f>'Comparativa - Fechas'!$B$119</f>
        <v>45071</v>
      </c>
      <c r="C8" s="189">
        <f>'Comparativa - Fechas'!$B$127</f>
        <v>45079</v>
      </c>
      <c r="D8" s="190">
        <f>SUM('Comparativa - Fechas'!$C$119:$C$127)</f>
        <v>36.5</v>
      </c>
      <c r="E8" s="190">
        <f>SUM('Comparativa - Fechas'!$E$119:$E$127)</f>
        <v>35</v>
      </c>
      <c r="F8" s="191">
        <f t="shared" si="0"/>
        <v>71.5</v>
      </c>
      <c r="G8" s="8"/>
      <c r="H8" s="187" t="s">
        <v>177</v>
      </c>
      <c r="I8" s="188">
        <f>'Comparativa - Fechas'!$B$119</f>
        <v>45071</v>
      </c>
      <c r="J8" s="189">
        <f>'Comparativa - Fechas'!$B$127</f>
        <v>45079</v>
      </c>
      <c r="K8" s="190">
        <f>COUNTIF('Comparativa - Fechas'!$C$119:$C$127,"&lt;&gt; 0")</f>
        <v>9</v>
      </c>
      <c r="L8" s="191">
        <f>COUNTIF('Comparativa - Fechas'!E119:E127,"&lt;&gt; 0")</f>
        <v>5</v>
      </c>
    </row>
    <row r="79" spans="5:5" ht="31.2" x14ac:dyDescent="0.3">
      <c r="E79" s="14" t="s">
        <v>158</v>
      </c>
    </row>
  </sheetData>
  <mergeCells count="6">
    <mergeCell ref="A1:A2"/>
    <mergeCell ref="I1:L1"/>
    <mergeCell ref="B2:C2"/>
    <mergeCell ref="I2:J2"/>
    <mergeCell ref="H1:H2"/>
    <mergeCell ref="B1: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71"/>
  <sheetViews>
    <sheetView workbookViewId="0">
      <selection activeCell="J18" sqref="J18"/>
    </sheetView>
  </sheetViews>
  <sheetFormatPr baseColWidth="10" defaultColWidth="9" defaultRowHeight="15.6" x14ac:dyDescent="0.3"/>
  <cols>
    <col min="1" max="1" width="14.8984375" style="8" customWidth="1"/>
    <col min="2" max="2" width="11.59765625" style="8" customWidth="1"/>
    <col min="3" max="3" width="10.09765625" style="8" bestFit="1" customWidth="1"/>
    <col min="4" max="4" width="7.19921875" style="8" customWidth="1"/>
    <col min="5" max="5" width="6.19921875" style="8" customWidth="1"/>
    <col min="6" max="6" width="7.8984375" style="8" customWidth="1"/>
    <col min="7" max="7" width="6.59765625" style="8" customWidth="1"/>
    <col min="8" max="8" width="13" style="15" customWidth="1"/>
    <col min="9" max="9" width="14.19921875" style="14" customWidth="1"/>
    <col min="10" max="10" width="14.3984375" style="8" customWidth="1"/>
    <col min="11" max="11" width="12.796875" style="9" customWidth="1"/>
    <col min="12" max="12" width="10.8984375" style="9" customWidth="1"/>
    <col min="13" max="13" width="6.8984375" style="9" customWidth="1"/>
    <col min="14" max="14" width="6.09765625" style="9" customWidth="1"/>
    <col min="15" max="15" width="7.19921875" style="8" customWidth="1"/>
    <col min="16" max="16" width="7.59765625" style="8" customWidth="1"/>
    <col min="17" max="16384" width="9" style="8"/>
  </cols>
  <sheetData>
    <row r="1" spans="1:16" x14ac:dyDescent="0.3">
      <c r="A1" s="281" t="s">
        <v>159</v>
      </c>
      <c r="B1" s="285" t="s">
        <v>4</v>
      </c>
      <c r="C1" s="285"/>
      <c r="D1" s="285"/>
      <c r="E1" s="285"/>
      <c r="F1" s="285"/>
      <c r="G1" s="285"/>
      <c r="H1" s="286"/>
      <c r="J1" s="281" t="s">
        <v>159</v>
      </c>
      <c r="K1" s="269" t="s">
        <v>141</v>
      </c>
      <c r="L1" s="269"/>
      <c r="M1" s="269"/>
      <c r="N1" s="269"/>
      <c r="O1" s="269"/>
      <c r="P1" s="270"/>
    </row>
    <row r="2" spans="1:16" x14ac:dyDescent="0.3">
      <c r="A2" s="282"/>
      <c r="B2" s="288" t="s">
        <v>3</v>
      </c>
      <c r="C2" s="289"/>
      <c r="D2" s="284" t="s">
        <v>145</v>
      </c>
      <c r="E2" s="284"/>
      <c r="F2" s="284" t="s">
        <v>146</v>
      </c>
      <c r="G2" s="284"/>
      <c r="H2" s="292" t="s">
        <v>152</v>
      </c>
      <c r="J2" s="282"/>
      <c r="K2" s="288" t="s">
        <v>3</v>
      </c>
      <c r="L2" s="289"/>
      <c r="M2" s="284" t="s">
        <v>145</v>
      </c>
      <c r="N2" s="284"/>
      <c r="O2" s="284" t="s">
        <v>146</v>
      </c>
      <c r="P2" s="287"/>
    </row>
    <row r="3" spans="1:16" x14ac:dyDescent="0.3">
      <c r="A3" s="283"/>
      <c r="B3" s="290"/>
      <c r="C3" s="291"/>
      <c r="D3" s="81" t="s">
        <v>160</v>
      </c>
      <c r="E3" s="81" t="s">
        <v>161</v>
      </c>
      <c r="F3" s="81" t="s">
        <v>160</v>
      </c>
      <c r="G3" s="81" t="s">
        <v>161</v>
      </c>
      <c r="H3" s="293"/>
      <c r="J3" s="283"/>
      <c r="K3" s="290"/>
      <c r="L3" s="291"/>
      <c r="M3" s="81" t="s">
        <v>160</v>
      </c>
      <c r="N3" s="81" t="s">
        <v>161</v>
      </c>
      <c r="O3" s="81" t="s">
        <v>160</v>
      </c>
      <c r="P3" s="82" t="s">
        <v>161</v>
      </c>
    </row>
    <row r="4" spans="1:16" x14ac:dyDescent="0.3">
      <c r="A4" s="185" t="s">
        <v>154</v>
      </c>
      <c r="B4" s="105">
        <v>44956</v>
      </c>
      <c r="C4" s="106">
        <v>44959</v>
      </c>
      <c r="D4" s="58">
        <f ca="1">contarHoras($A$15,'Comparativa - Fechas'!$C$4:$C$7)</f>
        <v>12</v>
      </c>
      <c r="E4" s="58">
        <f ca="1">SUM(contarHoras($A$16,'Comparativa - Fechas'!$C$4:$C$7)+contarHoras($A$17,'Comparativa - Fechas'!$C$4:$C$7))</f>
        <v>0</v>
      </c>
      <c r="F4" s="58">
        <f ca="1">contarHoras($A$15,'Comparativa - Fechas'!$E$4:$E$7)</f>
        <v>11.999999999999996</v>
      </c>
      <c r="G4" s="58">
        <f ca="1">SUM(contarHoras($A$16,'Comparativa - Fechas'!$E$4:$E$7)+contarHoras($A$17,'Comparativa - Fechas'!$E$4:$E$7))</f>
        <v>0</v>
      </c>
      <c r="H4" s="59">
        <f ca="1">SUM(D4:G4)</f>
        <v>23.999999999999996</v>
      </c>
      <c r="J4" s="185" t="s">
        <v>154</v>
      </c>
      <c r="K4" s="105">
        <v>44956</v>
      </c>
      <c r="L4" s="106">
        <v>44959</v>
      </c>
      <c r="M4" s="58">
        <f ca="1">contarDacuerdo($A$15,'Comparativa - Fechas'!$C$4:$C$7)</f>
        <v>4</v>
      </c>
      <c r="N4" s="58">
        <f ca="1">SUM(contarDacuerdo($A$16,'Comparativa - Fechas'!$C$4:$C$7)+contarDacuerdo($A$17,'Comparativa - Fechas'!$C$4:$C$7))</f>
        <v>0</v>
      </c>
      <c r="O4" s="58">
        <f ca="1">contarDacuerdo($A$15,'Comparativa - Fechas'!$E$4:$E$7)</f>
        <v>4</v>
      </c>
      <c r="P4" s="59">
        <f ca="1">SUM(contarDacuerdo($A$16,'Comparativa - Fechas'!$E$4:$E$7)+contarDacuerdo($A$17,'Comparativa - Fechas'!$E$4:$E$7))</f>
        <v>0</v>
      </c>
    </row>
    <row r="5" spans="1:16" x14ac:dyDescent="0.3">
      <c r="A5" s="185" t="s">
        <v>153</v>
      </c>
      <c r="B5" s="105">
        <f>'Comparativa - Fechas'!$B$4</f>
        <v>44956</v>
      </c>
      <c r="C5" s="106">
        <f>'Comparativa - Fechas'!$B$127</f>
        <v>45079</v>
      </c>
      <c r="D5" s="58">
        <f ca="1">contarHoras($A$15,'Comparativa - Fechas'!$C$4:$C$127)</f>
        <v>305.75</v>
      </c>
      <c r="E5" s="58">
        <f ca="1">SUM(contarHoras($A$16,'Comparativa - Fechas'!$C$4:$C$127)+contarHoras($A$17,'Comparativa - Fechas'!$C$4:$C$127))</f>
        <v>26</v>
      </c>
      <c r="F5" s="58">
        <f ca="1">contarHoras($A$15,'Comparativa - Fechas'!$E$4:$E$127)</f>
        <v>306.33333333333331</v>
      </c>
      <c r="G5" s="58">
        <f ca="1">SUM(contarHoras($A$16,'Comparativa - Fechas'!$E$4:$E$127)+contarHoras($A$17,'Comparativa - Fechas'!$E$4:$E$127))</f>
        <v>36.916666666666664</v>
      </c>
      <c r="H5" s="59">
        <f t="shared" ref="H5:H9" ca="1" si="0">SUM(D5:G5)</f>
        <v>674.99999999999989</v>
      </c>
      <c r="J5" s="185" t="s">
        <v>153</v>
      </c>
      <c r="K5" s="105">
        <f>'Comparativa - Fechas'!$B$4</f>
        <v>44956</v>
      </c>
      <c r="L5" s="106">
        <f>'Comparativa - Fechas'!$B$127</f>
        <v>45079</v>
      </c>
      <c r="M5" s="58">
        <f ca="1">contarDacuerdo($A$15,'Comparativa - Fechas'!$C$4:$C$127)</f>
        <v>78</v>
      </c>
      <c r="N5" s="58">
        <f ca="1">SUM(contarDacuerdo($A$16,'Comparativa - Fechas'!$C$4:$C$127)+contarDacuerdo($A$17,'Comparativa - Fechas'!$C$4:$C$127))</f>
        <v>9</v>
      </c>
      <c r="O5" s="58">
        <f ca="1">contarDacuerdo($A$15,'Comparativa - Fechas'!$E$4:$E$127)</f>
        <v>70</v>
      </c>
      <c r="P5" s="59">
        <f ca="1">SUM(contarDacuerdo($A$16,'Comparativa - Fechas'!$E$4:$E$127)+contarDacuerdo($A$17,'Comparativa - Fechas'!$E$4:$E$127))</f>
        <v>11</v>
      </c>
    </row>
    <row r="6" spans="1:16" x14ac:dyDescent="0.3">
      <c r="A6" s="185" t="s">
        <v>178</v>
      </c>
      <c r="B6" s="105">
        <f>'Comparativa - Fechas'!$B$4</f>
        <v>44956</v>
      </c>
      <c r="C6" s="106">
        <f>'Comparativa - Fechas'!$B$102</f>
        <v>45054</v>
      </c>
      <c r="D6" s="58">
        <f ca="1">contarHoras($A$15,'Comparativa - Fechas'!$C$4:$C$102)</f>
        <v>232.75</v>
      </c>
      <c r="E6" s="58">
        <f ca="1">SUM(contarHoras($A$16,'Comparativa - Fechas'!$C$4:$C$102)+contarHoras($A$17,'Comparativa - Fechas'!$C$4:$C$102))</f>
        <v>15</v>
      </c>
      <c r="F6" s="58">
        <f ca="1">contarHoras($A$15,'Comparativa - Fechas'!$E$4:$E$102)</f>
        <v>218.91666666666666</v>
      </c>
      <c r="G6" s="58">
        <f ca="1">SUM(contarHoras($A$16,'Comparativa - Fechas'!$E$4:$E$102)+contarHoras($A$17,'Comparativa - Fechas'!$E$4:$E$102))</f>
        <v>33.916666666666664</v>
      </c>
      <c r="H6" s="59">
        <f t="shared" ca="1" si="0"/>
        <v>500.58333333333331</v>
      </c>
      <c r="J6" s="185" t="s">
        <v>178</v>
      </c>
      <c r="K6" s="105">
        <f>'Comparativa - Fechas'!$B$4</f>
        <v>44956</v>
      </c>
      <c r="L6" s="106">
        <f>'Comparativa - Fechas'!$B$102</f>
        <v>45054</v>
      </c>
      <c r="M6" s="58">
        <f ca="1">contarDacuerdo($A$15,'Comparativa - Fechas'!$C$4:$C$102)</f>
        <v>59</v>
      </c>
      <c r="N6" s="58">
        <f ca="1">SUM(contarDacuerdo($A$16,'Comparativa - Fechas'!$C$4:$C$102)+contarDacuerdo($A$17,'Comparativa - Fechas'!$C$4:$C$102))</f>
        <v>5</v>
      </c>
      <c r="O6" s="58">
        <f ca="1">contarDacuerdo($A$15,'Comparativa - Fechas'!$E$4:$E$102)</f>
        <v>53</v>
      </c>
      <c r="P6" s="59">
        <f ca="1">SUM(contarDacuerdo($A$16,'Comparativa - Fechas'!$E$4:$E$102)+contarDacuerdo($A$17,'Comparativa - Fechas'!$E$4:$E$102))</f>
        <v>10</v>
      </c>
    </row>
    <row r="7" spans="1:16" x14ac:dyDescent="0.3">
      <c r="A7" s="185" t="s">
        <v>156</v>
      </c>
      <c r="B7" s="105">
        <f>'Comparativa - Fechas'!$B$103</f>
        <v>45055</v>
      </c>
      <c r="C7" s="106">
        <f>'Comparativa - Fechas'!$B$114</f>
        <v>45066</v>
      </c>
      <c r="D7" s="58">
        <f ca="1">contarHoras($A$15,'Comparativa - Fechas'!$C$103:$C$114)</f>
        <v>35.5</v>
      </c>
      <c r="E7" s="58">
        <f ca="1">SUM(contarHoras($A$16,'Comparativa - Fechas'!$C$103:$C$114)+contarHoras($A$17,'Comparativa - Fechas'!$C$103:$C$114))</f>
        <v>2</v>
      </c>
      <c r="F7" s="58">
        <f ca="1">contarHoras($A$15,'Comparativa - Fechas'!$E$103:$E$114)</f>
        <v>38.916666666666664</v>
      </c>
      <c r="G7" s="58">
        <f ca="1">SUM(contarHoras($A$16,'Comparativa - Fechas'!$E$103:$E$114)+contarHoras($A$17,'Comparativa - Fechas'!$E$103:$E$114))</f>
        <v>2.9999999999999987</v>
      </c>
      <c r="H7" s="59">
        <f t="shared" ca="1" si="0"/>
        <v>79.416666666666657</v>
      </c>
      <c r="J7" s="185" t="s">
        <v>156</v>
      </c>
      <c r="K7" s="105">
        <f>'Comparativa - Fechas'!$B$103</f>
        <v>45055</v>
      </c>
      <c r="L7" s="106">
        <f>'Comparativa - Fechas'!$B$114</f>
        <v>45066</v>
      </c>
      <c r="M7" s="58">
        <f ca="1">contarDacuerdo($A$15,'Comparativa - Fechas'!$C$103:$C$114)</f>
        <v>9</v>
      </c>
      <c r="N7" s="58">
        <f ca="1">SUM(contarDacuerdo($A$16,'Comparativa - Fechas'!$C$103:$C$114)+contarDacuerdo($A$17,'Comparativa - Fechas'!$C$103:$C$114))</f>
        <v>1</v>
      </c>
      <c r="O7" s="58">
        <f ca="1">contarDacuerdo($A$15,'Comparativa - Fechas'!$E$103:$E$114)</f>
        <v>9</v>
      </c>
      <c r="P7" s="59">
        <f ca="1">SUM(contarDacuerdo($A$16,'Comparativa - Fechas'!$E$103:$E$114)+contarDacuerdo($A$17,'Comparativa - Fechas'!$E$103:$E$114))</f>
        <v>1</v>
      </c>
    </row>
    <row r="8" spans="1:16" x14ac:dyDescent="0.3">
      <c r="A8" s="185" t="s">
        <v>157</v>
      </c>
      <c r="B8" s="105">
        <f>'Comparativa - Fechas'!$B$105</f>
        <v>45057</v>
      </c>
      <c r="C8" s="106">
        <f>'Comparativa - Fechas'!$B$118</f>
        <v>45070</v>
      </c>
      <c r="D8" s="58">
        <f ca="1">contarHoras($A$15,'Comparativa - Fechas'!$C$105:$C$118)</f>
        <v>35.5</v>
      </c>
      <c r="E8" s="58">
        <f ca="1">SUM(contarHoras($A$16,'Comparativa - Fechas'!$C$105:$C$118)+contarHoras($A$17,'Comparativa - Fechas'!$C$105:$C$118))</f>
        <v>5</v>
      </c>
      <c r="F8" s="58">
        <f ca="1">contarHoras($A$15,'Comparativa - Fechas'!$E$105:$E$118)</f>
        <v>45.75</v>
      </c>
      <c r="G8" s="58">
        <f ca="1">SUM(contarHoras($A$16,'Comparativa - Fechas'!$E$105:$E$118)+contarHoras($A$17,'Comparativa - Fechas'!$E$105:$E$118))</f>
        <v>2.9999999999999987</v>
      </c>
      <c r="H8" s="59">
        <f t="shared" ca="1" si="0"/>
        <v>89.25</v>
      </c>
      <c r="J8" s="185" t="s">
        <v>157</v>
      </c>
      <c r="K8" s="105">
        <f>'Comparativa - Fechas'!$B$105</f>
        <v>45057</v>
      </c>
      <c r="L8" s="106">
        <f>'Comparativa - Fechas'!$B$118</f>
        <v>45070</v>
      </c>
      <c r="M8" s="58">
        <f ca="1">contarDacuerdo($A$15,'Comparativa - Fechas'!$C$105:$C$118)</f>
        <v>10</v>
      </c>
      <c r="N8" s="58">
        <f ca="1">SUM(contarDacuerdo($A$16,'Comparativa - Fechas'!$C$105:$C$118)+contarDacuerdo($A$17,'Comparativa - Fechas'!$C$105:$C$118))</f>
        <v>2</v>
      </c>
      <c r="O8" s="58">
        <f ca="1">contarDacuerdo($A$15,'Comparativa - Fechas'!$E$105:$E$118)</f>
        <v>10</v>
      </c>
      <c r="P8" s="59">
        <f ca="1">SUM(contarDacuerdo($A$16,'Comparativa - Fechas'!$E$105:$E$118)+contarDacuerdo($A$17,'Comparativa - Fechas'!$E$105:$E$118))</f>
        <v>1</v>
      </c>
    </row>
    <row r="9" spans="1:16" ht="16.2" thickBot="1" x14ac:dyDescent="0.35">
      <c r="A9" s="187" t="s">
        <v>177</v>
      </c>
      <c r="B9" s="188">
        <f>'Comparativa - Fechas'!$B$119</f>
        <v>45071</v>
      </c>
      <c r="C9" s="221">
        <f>'Comparativa - Fechas'!$B$127</f>
        <v>45079</v>
      </c>
      <c r="D9" s="222">
        <f ca="1">contarHoras($A$15,'Comparativa - Fechas'!$C$119:$C$127)</f>
        <v>30.5</v>
      </c>
      <c r="E9" s="222">
        <f ca="1">SUM(contarHoras($A$16,'Comparativa - Fechas'!$C$119:$C$127)+contarHoras($A$17,'Comparativa - Fechas'!$C$119:$C$127))</f>
        <v>6</v>
      </c>
      <c r="F9" s="222">
        <f ca="1">contarHoras($A$15,'Comparativa - Fechas'!$E$119:$E$127)</f>
        <v>35</v>
      </c>
      <c r="G9" s="222">
        <f ca="1">SUM(contarHoras($A$16,'Comparativa - Fechas'!$E$119:$E$127)+contarHoras($A$17,'Comparativa - Fechas'!$E$119:$E$127))</f>
        <v>0</v>
      </c>
      <c r="H9" s="60">
        <f t="shared" ca="1" si="0"/>
        <v>71.5</v>
      </c>
      <c r="I9" s="8"/>
      <c r="J9" s="187" t="s">
        <v>177</v>
      </c>
      <c r="K9" s="188">
        <f>'Comparativa - Fechas'!$B$119</f>
        <v>45071</v>
      </c>
      <c r="L9" s="221">
        <f>'Comparativa - Fechas'!$B$127</f>
        <v>45079</v>
      </c>
      <c r="M9" s="222">
        <f ca="1">contarDacuerdo($A$15,'Comparativa - Fechas'!$C$119:$C$127)</f>
        <v>7</v>
      </c>
      <c r="N9" s="222">
        <f ca="1">SUM(contarDacuerdo($A$16,'Comparativa - Fechas'!$C$119:$C$127)+contarDacuerdo($A$17,'Comparativa - Fechas'!$C$119:$C$127))</f>
        <v>2</v>
      </c>
      <c r="O9" s="222">
        <f ca="1">contarDacuerdo($A$15,'Comparativa - Fechas'!$E$119:$E$127)</f>
        <v>5</v>
      </c>
      <c r="P9" s="223">
        <f ca="1">SUM(contarDacuerdo($A$16,'Comparativa - Fechas'!$E$119:$E$127)+contarDacuerdo($A$17,'Comparativa - Fechas'!$E$119:$E$127))</f>
        <v>0</v>
      </c>
    </row>
    <row r="10" spans="1:16" x14ac:dyDescent="0.3">
      <c r="C10" s="47" t="s">
        <v>308</v>
      </c>
      <c r="D10" s="277">
        <f ca="1">SUM(D5:E5)</f>
        <v>331.75</v>
      </c>
      <c r="E10" s="278"/>
      <c r="F10" s="277">
        <f ca="1">SUM(F5:G5)</f>
        <v>343.25</v>
      </c>
      <c r="G10" s="278"/>
      <c r="L10" s="47" t="s">
        <v>308</v>
      </c>
      <c r="M10" s="279">
        <f ca="1">SUM(M5:N5)</f>
        <v>87</v>
      </c>
      <c r="N10" s="280"/>
      <c r="O10" s="277">
        <f ca="1">SUM(O5:P5)</f>
        <v>81</v>
      </c>
      <c r="P10" s="278"/>
    </row>
    <row r="14" spans="1:16" x14ac:dyDescent="0.3">
      <c r="D14" s="192"/>
      <c r="E14" s="192"/>
    </row>
    <row r="15" spans="1:16" x14ac:dyDescent="0.3">
      <c r="A15" s="86" t="s">
        <v>148</v>
      </c>
      <c r="D15" s="192"/>
      <c r="E15" s="192"/>
    </row>
    <row r="16" spans="1:16" x14ac:dyDescent="0.3">
      <c r="A16" s="87" t="s">
        <v>149</v>
      </c>
      <c r="D16" s="193"/>
      <c r="E16" s="193"/>
    </row>
    <row r="17" spans="1:5" x14ac:dyDescent="0.3">
      <c r="A17" s="88" t="s">
        <v>150</v>
      </c>
      <c r="D17" s="193"/>
      <c r="E17" s="193"/>
    </row>
    <row r="18" spans="1:5" x14ac:dyDescent="0.3">
      <c r="D18" s="193"/>
      <c r="E18" s="193"/>
    </row>
    <row r="19" spans="1:5" x14ac:dyDescent="0.3">
      <c r="D19" s="192"/>
      <c r="E19" s="192"/>
    </row>
    <row r="71" spans="6:7" ht="31.2" x14ac:dyDescent="0.3">
      <c r="F71" s="14" t="s">
        <v>158</v>
      </c>
      <c r="G71" s="14"/>
    </row>
  </sheetData>
  <mergeCells count="15">
    <mergeCell ref="D10:E10"/>
    <mergeCell ref="F10:G10"/>
    <mergeCell ref="M10:N10"/>
    <mergeCell ref="O10:P10"/>
    <mergeCell ref="A1:A3"/>
    <mergeCell ref="J1:J3"/>
    <mergeCell ref="D2:E2"/>
    <mergeCell ref="F2:G2"/>
    <mergeCell ref="B1:H1"/>
    <mergeCell ref="O2:P2"/>
    <mergeCell ref="K1:P1"/>
    <mergeCell ref="K2:L3"/>
    <mergeCell ref="B2:C3"/>
    <mergeCell ref="H2:H3"/>
    <mergeCell ref="M2:N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J62"/>
  <sheetViews>
    <sheetView topLeftCell="A55" workbookViewId="0">
      <selection activeCell="E20" sqref="E20:F20"/>
    </sheetView>
  </sheetViews>
  <sheetFormatPr baseColWidth="10" defaultColWidth="10.59765625" defaultRowHeight="13.8" x14ac:dyDescent="0.25"/>
  <cols>
    <col min="1" max="1" width="10.59765625" style="108"/>
    <col min="2" max="2" width="14.19921875" style="108" bestFit="1" customWidth="1"/>
    <col min="3" max="3" width="10.59765625" style="108"/>
    <col min="4" max="4" width="11.5" style="108" bestFit="1" customWidth="1"/>
    <col min="5" max="5" width="11" style="108" bestFit="1" customWidth="1"/>
    <col min="6" max="6" width="11.5" style="108" bestFit="1" customWidth="1"/>
    <col min="7" max="8" width="10.59765625" style="108"/>
    <col min="9" max="9" width="11.796875" style="108" customWidth="1"/>
    <col min="10" max="11" width="10.59765625" style="108"/>
    <col min="12" max="12" width="15.796875" style="108" bestFit="1" customWidth="1"/>
    <col min="13" max="16384" width="10.59765625" style="108"/>
  </cols>
  <sheetData>
    <row r="2" spans="2:9" x14ac:dyDescent="0.25">
      <c r="G2" s="117"/>
      <c r="H2" s="117"/>
      <c r="I2" s="295" t="s">
        <v>266</v>
      </c>
    </row>
    <row r="3" spans="2:9" x14ac:dyDescent="0.25">
      <c r="B3" s="297" t="s">
        <v>267</v>
      </c>
      <c r="C3" s="297"/>
      <c r="D3" s="297"/>
      <c r="E3" s="297"/>
      <c r="F3" s="297"/>
      <c r="G3" s="298"/>
      <c r="H3" s="117"/>
      <c r="I3" s="295"/>
    </row>
    <row r="4" spans="2:9" x14ac:dyDescent="0.25">
      <c r="B4" s="299" t="s">
        <v>268</v>
      </c>
      <c r="C4" s="299"/>
      <c r="D4" s="202" t="s">
        <v>269</v>
      </c>
      <c r="E4" s="202" t="s">
        <v>270</v>
      </c>
      <c r="F4" s="300" t="s">
        <v>271</v>
      </c>
      <c r="G4" s="300"/>
      <c r="H4" s="117"/>
      <c r="I4" s="296"/>
    </row>
    <row r="5" spans="2:9" x14ac:dyDescent="0.25">
      <c r="B5" s="300" t="s">
        <v>272</v>
      </c>
      <c r="C5" s="300"/>
      <c r="D5" s="202" t="s">
        <v>273</v>
      </c>
      <c r="E5" s="201" t="s">
        <v>274</v>
      </c>
      <c r="F5" s="299">
        <v>200</v>
      </c>
      <c r="G5" s="299"/>
      <c r="H5" s="117"/>
      <c r="I5" s="203">
        <v>5</v>
      </c>
    </row>
    <row r="6" spans="2:9" x14ac:dyDescent="0.25">
      <c r="B6" s="300" t="s">
        <v>275</v>
      </c>
      <c r="C6" s="300"/>
      <c r="D6" s="204" t="s">
        <v>276</v>
      </c>
      <c r="E6" s="201" t="s">
        <v>277</v>
      </c>
      <c r="F6" s="299">
        <v>120</v>
      </c>
      <c r="G6" s="299"/>
      <c r="H6" s="117"/>
      <c r="I6" s="117"/>
    </row>
    <row r="7" spans="2:9" x14ac:dyDescent="0.25">
      <c r="B7" s="300" t="s">
        <v>1</v>
      </c>
      <c r="C7" s="300"/>
      <c r="D7" s="202" t="s">
        <v>278</v>
      </c>
      <c r="E7" s="201" t="s">
        <v>277</v>
      </c>
      <c r="F7" s="299"/>
      <c r="G7" s="299"/>
    </row>
    <row r="9" spans="2:9" x14ac:dyDescent="0.25">
      <c r="B9" s="294" t="s">
        <v>279</v>
      </c>
      <c r="C9" s="294"/>
      <c r="D9" s="294"/>
      <c r="E9" s="294"/>
      <c r="F9" s="294"/>
      <c r="G9" s="294"/>
      <c r="H9" s="294"/>
    </row>
    <row r="10" spans="2:9" x14ac:dyDescent="0.25">
      <c r="B10" s="205"/>
      <c r="C10" s="301" t="s">
        <v>3</v>
      </c>
      <c r="D10" s="302"/>
      <c r="E10" s="201" t="s">
        <v>276</v>
      </c>
      <c r="F10" s="201" t="s">
        <v>278</v>
      </c>
      <c r="G10" s="201" t="s">
        <v>273</v>
      </c>
      <c r="H10" s="201" t="s">
        <v>280</v>
      </c>
    </row>
    <row r="11" spans="2:9" x14ac:dyDescent="0.25">
      <c r="B11" s="206" t="str">
        <f>'[1]Datos CN'!A4</f>
        <v>Correccion</v>
      </c>
      <c r="C11" s="207">
        <f>'[1]Datos CN'!B4</f>
        <v>44956</v>
      </c>
      <c r="D11" s="207">
        <f>'[1]Datos CN'!C4</f>
        <v>44959</v>
      </c>
      <c r="E11" s="208">
        <f ca="1">SUM('Datos CN'!D4:E4)</f>
        <v>12</v>
      </c>
      <c r="F11" s="208">
        <f ca="1">SUM('Datos CN'!F4:G4)</f>
        <v>11.999999999999996</v>
      </c>
      <c r="G11" s="208">
        <f>SUM(Minutas!F2:F7)</f>
        <v>3.2999999999999989</v>
      </c>
      <c r="H11" s="208">
        <f ca="1">SUM(E11:G11)</f>
        <v>27.299999999999997</v>
      </c>
    </row>
    <row r="12" spans="2:9" ht="13.5" customHeight="1" x14ac:dyDescent="0.25">
      <c r="B12" s="206" t="str">
        <f>'[1]Datos CN'!A6</f>
        <v>Implementacion</v>
      </c>
      <c r="C12" s="207">
        <f>'[1]Datos CN'!B6</f>
        <v>44956</v>
      </c>
      <c r="D12" s="207">
        <f>'[1]Datos CN'!C6</f>
        <v>45054</v>
      </c>
      <c r="E12" s="208">
        <f ca="1">SUM('Datos CN'!D5:E5)</f>
        <v>331.75</v>
      </c>
      <c r="F12" s="208">
        <f ca="1">SUM('Datos CN'!F6:G6)</f>
        <v>252.83333333333331</v>
      </c>
      <c r="G12" s="208">
        <f>SUM(Minutas!F8:F13)</f>
        <v>5.7500000000000009</v>
      </c>
      <c r="H12" s="208">
        <f t="shared" ref="H12:H15" ca="1" si="0">SUM(E12:G12)</f>
        <v>590.33333333333326</v>
      </c>
    </row>
    <row r="13" spans="2:9" ht="15" customHeight="1" x14ac:dyDescent="0.25">
      <c r="B13" s="206" t="str">
        <f>'[1]Datos CN'!A7</f>
        <v>Pruebas</v>
      </c>
      <c r="C13" s="207">
        <f>'[1]Datos CN'!B7</f>
        <v>45055</v>
      </c>
      <c r="D13" s="207">
        <f>'[1]Datos CN'!C7</f>
        <v>45066</v>
      </c>
      <c r="E13" s="208">
        <f ca="1">SUM('Datos CN'!D7:E7)</f>
        <v>37.5</v>
      </c>
      <c r="F13" s="208">
        <f ca="1">SUM('Datos CN'!F7:G7)</f>
        <v>41.916666666666664</v>
      </c>
      <c r="G13" s="208">
        <f>SUM([1]Minutas!F14:F15)</f>
        <v>3.3333333333333339</v>
      </c>
      <c r="H13" s="208">
        <f t="shared" ca="1" si="0"/>
        <v>82.749999999999986</v>
      </c>
    </row>
    <row r="14" spans="2:9" x14ac:dyDescent="0.25">
      <c r="B14" s="206" t="str">
        <f>'[1]Datos CN'!A8</f>
        <v>Mantenimiento</v>
      </c>
      <c r="C14" s="207">
        <f>'[1]Datos CN'!B8</f>
        <v>45057</v>
      </c>
      <c r="D14" s="207">
        <f>'[1]Datos CN'!C8</f>
        <v>45070</v>
      </c>
      <c r="E14" s="208">
        <f ca="1">SUM('Datos CN'!D8:E8)</f>
        <v>40.5</v>
      </c>
      <c r="F14" s="208">
        <f ca="1">SUM('Datos CN'!F8:G8)</f>
        <v>48.75</v>
      </c>
      <c r="G14" s="208">
        <f>SUM([1]Minutas!F13:F14)</f>
        <v>2.166666666666667</v>
      </c>
      <c r="H14" s="208">
        <f t="shared" ca="1" si="0"/>
        <v>91.416666666666671</v>
      </c>
    </row>
    <row r="15" spans="2:9" x14ac:dyDescent="0.25">
      <c r="B15" s="206" t="str">
        <f>'[1]Datos CN'!A9</f>
        <v>Termino</v>
      </c>
      <c r="C15" s="207">
        <f>'[1]Datos CN'!B9</f>
        <v>45071</v>
      </c>
      <c r="D15" s="207">
        <f>'[1]Datos CN'!C9</f>
        <v>45079</v>
      </c>
      <c r="E15" s="208">
        <f ca="1">SUM('Datos CN'!D9:E9)</f>
        <v>36.5</v>
      </c>
      <c r="F15" s="208">
        <f ca="1">SUM('Datos CN'!F9:G9)</f>
        <v>35</v>
      </c>
      <c r="G15" s="209">
        <f>SUM([1]Minutas!F16)</f>
        <v>0</v>
      </c>
      <c r="H15" s="208">
        <f t="shared" ca="1" si="0"/>
        <v>71.5</v>
      </c>
    </row>
    <row r="16" spans="2:9" x14ac:dyDescent="0.25">
      <c r="B16" s="206" t="str">
        <f>'[1]Datos CN'!A5</f>
        <v>TT2</v>
      </c>
      <c r="C16" s="207">
        <f>'[1]Datos CN'!B5</f>
        <v>44956</v>
      </c>
      <c r="D16" s="207">
        <f>'[1]Datos CN'!C5</f>
        <v>45079</v>
      </c>
      <c r="E16" s="208">
        <f ca="1">SUM('Datos CN'!D5:E5)</f>
        <v>331.75</v>
      </c>
      <c r="F16" s="208">
        <f ca="1">SUM('Datos CN'!F5:G5)</f>
        <v>343.25</v>
      </c>
      <c r="G16" s="208">
        <f>SUM(G11:G15)</f>
        <v>14.55</v>
      </c>
      <c r="H16" s="208">
        <f ca="1">SUM(E16:G16)</f>
        <v>689.55</v>
      </c>
    </row>
    <row r="18" spans="2:10" x14ac:dyDescent="0.25">
      <c r="B18" s="294" t="s">
        <v>281</v>
      </c>
      <c r="C18" s="294"/>
      <c r="D18" s="294"/>
      <c r="E18" s="294"/>
      <c r="F18" s="294"/>
      <c r="G18" s="294"/>
      <c r="H18" s="294"/>
    </row>
    <row r="19" spans="2:10" x14ac:dyDescent="0.25">
      <c r="B19" s="146" t="s">
        <v>282</v>
      </c>
      <c r="C19" s="303" t="s">
        <v>283</v>
      </c>
      <c r="D19" s="303"/>
      <c r="E19" s="303" t="s">
        <v>284</v>
      </c>
      <c r="F19" s="303"/>
      <c r="G19" s="303" t="s">
        <v>285</v>
      </c>
      <c r="H19" s="303"/>
    </row>
    <row r="20" spans="2:10" x14ac:dyDescent="0.25">
      <c r="B20" s="202" t="s">
        <v>276</v>
      </c>
      <c r="C20" s="304">
        <v>20000</v>
      </c>
      <c r="D20" s="304"/>
      <c r="E20" s="304">
        <f>C20/12</f>
        <v>1666.6666666666667</v>
      </c>
      <c r="F20" s="304"/>
      <c r="G20" s="304">
        <f>E20*$I$5</f>
        <v>8333.3333333333339</v>
      </c>
      <c r="H20" s="304"/>
    </row>
    <row r="21" spans="2:10" x14ac:dyDescent="0.25">
      <c r="B21" s="202" t="s">
        <v>278</v>
      </c>
      <c r="C21" s="304">
        <v>10000</v>
      </c>
      <c r="D21" s="304"/>
      <c r="E21" s="304">
        <f>C21/12</f>
        <v>833.33333333333337</v>
      </c>
      <c r="F21" s="304"/>
      <c r="G21" s="304">
        <f>E21*2</f>
        <v>1666.6666666666667</v>
      </c>
      <c r="H21" s="304"/>
    </row>
    <row r="22" spans="2:10" x14ac:dyDescent="0.25">
      <c r="B22" s="211" t="s">
        <v>278</v>
      </c>
      <c r="C22" s="305">
        <v>3500</v>
      </c>
      <c r="D22" s="306"/>
      <c r="E22" s="304">
        <f>C22/12</f>
        <v>291.66666666666669</v>
      </c>
      <c r="F22" s="304"/>
      <c r="G22" s="304">
        <f>E22*2</f>
        <v>583.33333333333337</v>
      </c>
      <c r="H22" s="304"/>
      <c r="J22" s="212">
        <f>G21+G22</f>
        <v>2250</v>
      </c>
    </row>
    <row r="23" spans="2:10" x14ac:dyDescent="0.25">
      <c r="B23" s="202" t="s">
        <v>152</v>
      </c>
      <c r="C23" s="304">
        <f>SUM(C20:C21)</f>
        <v>30000</v>
      </c>
      <c r="D23" s="304"/>
      <c r="E23" s="304">
        <f>SUM(E20:E21)</f>
        <v>2500</v>
      </c>
      <c r="F23" s="304"/>
      <c r="G23" s="304">
        <f>SUM(G20:G22)</f>
        <v>10583.333333333334</v>
      </c>
      <c r="H23" s="304"/>
    </row>
    <row r="26" spans="2:10" x14ac:dyDescent="0.25">
      <c r="B26" s="294" t="s">
        <v>286</v>
      </c>
      <c r="C26" s="294"/>
      <c r="D26" s="294"/>
      <c r="E26" s="294"/>
      <c r="F26" s="294"/>
      <c r="G26" s="294"/>
      <c r="H26" s="294"/>
    </row>
    <row r="27" spans="2:10" x14ac:dyDescent="0.25">
      <c r="B27" s="307" t="s">
        <v>159</v>
      </c>
      <c r="C27" s="300" t="s">
        <v>3</v>
      </c>
      <c r="D27" s="300"/>
      <c r="E27" s="308" t="s">
        <v>287</v>
      </c>
      <c r="F27" s="309"/>
      <c r="G27" s="310"/>
      <c r="H27" s="311" t="s">
        <v>280</v>
      </c>
    </row>
    <row r="28" spans="2:10" x14ac:dyDescent="0.25">
      <c r="B28" s="307"/>
      <c r="C28" s="300"/>
      <c r="D28" s="300"/>
      <c r="E28" s="201" t="s">
        <v>276</v>
      </c>
      <c r="F28" s="201" t="s">
        <v>278</v>
      </c>
      <c r="G28" s="201" t="s">
        <v>273</v>
      </c>
      <c r="H28" s="312"/>
    </row>
    <row r="29" spans="2:10" x14ac:dyDescent="0.25">
      <c r="B29" s="206" t="str">
        <f t="shared" ref="B29:D34" si="1">B11</f>
        <v>Correccion</v>
      </c>
      <c r="C29" s="207">
        <f t="shared" si="1"/>
        <v>44956</v>
      </c>
      <c r="D29" s="207">
        <f t="shared" si="1"/>
        <v>44959</v>
      </c>
      <c r="E29" s="214">
        <f t="shared" ref="E29:F33" ca="1" si="2">E11*$F$6</f>
        <v>1440</v>
      </c>
      <c r="F29" s="214">
        <f t="shared" ca="1" si="2"/>
        <v>1439.9999999999995</v>
      </c>
      <c r="G29" s="214">
        <f>G11*$F$5</f>
        <v>659.99999999999977</v>
      </c>
      <c r="H29" s="214">
        <f ca="1">SUM(E29:G29)</f>
        <v>3539.9999999999991</v>
      </c>
    </row>
    <row r="30" spans="2:10" x14ac:dyDescent="0.25">
      <c r="B30" s="206" t="str">
        <f t="shared" si="1"/>
        <v>Implementacion</v>
      </c>
      <c r="C30" s="207">
        <f t="shared" si="1"/>
        <v>44956</v>
      </c>
      <c r="D30" s="207">
        <f t="shared" si="1"/>
        <v>45054</v>
      </c>
      <c r="E30" s="214">
        <f t="shared" ca="1" si="2"/>
        <v>39810</v>
      </c>
      <c r="F30" s="214">
        <f t="shared" ca="1" si="2"/>
        <v>30339.999999999996</v>
      </c>
      <c r="G30" s="214">
        <f>G12*$F$5</f>
        <v>1150.0000000000002</v>
      </c>
      <c r="H30" s="214">
        <f t="shared" ref="H30:H31" ca="1" si="3">SUM(E30:G30)</f>
        <v>71300</v>
      </c>
    </row>
    <row r="31" spans="2:10" x14ac:dyDescent="0.25">
      <c r="B31" s="206" t="str">
        <f t="shared" si="1"/>
        <v>Pruebas</v>
      </c>
      <c r="C31" s="207">
        <f t="shared" si="1"/>
        <v>45055</v>
      </c>
      <c r="D31" s="207">
        <f t="shared" si="1"/>
        <v>45066</v>
      </c>
      <c r="E31" s="214">
        <f t="shared" ca="1" si="2"/>
        <v>4500</v>
      </c>
      <c r="F31" s="214">
        <f t="shared" ca="1" si="2"/>
        <v>5030</v>
      </c>
      <c r="G31" s="214">
        <f>G13*$F$5</f>
        <v>666.66666666666674</v>
      </c>
      <c r="H31" s="214">
        <f t="shared" ca="1" si="3"/>
        <v>10196.666666666666</v>
      </c>
    </row>
    <row r="32" spans="2:10" x14ac:dyDescent="0.25">
      <c r="B32" s="206" t="str">
        <f t="shared" si="1"/>
        <v>Mantenimiento</v>
      </c>
      <c r="C32" s="207">
        <f t="shared" si="1"/>
        <v>45057</v>
      </c>
      <c r="D32" s="207">
        <f t="shared" si="1"/>
        <v>45070</v>
      </c>
      <c r="E32" s="214">
        <f t="shared" ca="1" si="2"/>
        <v>4860</v>
      </c>
      <c r="F32" s="214">
        <f t="shared" ca="1" si="2"/>
        <v>5850</v>
      </c>
      <c r="G32" s="214">
        <f>G14*$F$5</f>
        <v>433.33333333333337</v>
      </c>
      <c r="H32" s="214">
        <f ca="1">SUM(E32:G32)</f>
        <v>11143.333333333334</v>
      </c>
    </row>
    <row r="33" spans="2:8" x14ac:dyDescent="0.25">
      <c r="B33" s="206" t="str">
        <f t="shared" si="1"/>
        <v>Termino</v>
      </c>
      <c r="C33" s="207">
        <f t="shared" si="1"/>
        <v>45071</v>
      </c>
      <c r="D33" s="207">
        <f t="shared" si="1"/>
        <v>45079</v>
      </c>
      <c r="E33" s="214">
        <f t="shared" ca="1" si="2"/>
        <v>4380</v>
      </c>
      <c r="F33" s="214">
        <f t="shared" ca="1" si="2"/>
        <v>4200</v>
      </c>
      <c r="G33" s="214">
        <f>G15*$F$5</f>
        <v>0</v>
      </c>
      <c r="H33" s="214">
        <f ca="1">SUM(E33:G33)</f>
        <v>8580</v>
      </c>
    </row>
    <row r="34" spans="2:8" x14ac:dyDescent="0.25">
      <c r="B34" s="206" t="str">
        <f t="shared" si="1"/>
        <v>TT2</v>
      </c>
      <c r="C34" s="207">
        <f t="shared" si="1"/>
        <v>44956</v>
      </c>
      <c r="D34" s="207">
        <f t="shared" si="1"/>
        <v>45079</v>
      </c>
      <c r="E34" s="214">
        <f ca="1">SUM(E29:E33)</f>
        <v>54990</v>
      </c>
      <c r="F34" s="214">
        <f t="shared" ref="F34" ca="1" si="4">SUM(F29:F33)</f>
        <v>46860</v>
      </c>
      <c r="G34" s="214">
        <f>SUM(G29:G33)</f>
        <v>2910.0000000000005</v>
      </c>
      <c r="H34" s="214">
        <f ca="1">SUM(E34:G34)</f>
        <v>104760</v>
      </c>
    </row>
    <row r="37" spans="2:8" x14ac:dyDescent="0.25">
      <c r="B37" s="294" t="s">
        <v>288</v>
      </c>
      <c r="C37" s="294"/>
      <c r="D37" s="294"/>
      <c r="E37" s="294"/>
      <c r="F37" s="294"/>
      <c r="G37" s="294"/>
    </row>
    <row r="38" spans="2:8" x14ac:dyDescent="0.25">
      <c r="B38" s="113"/>
      <c r="C38" s="313" t="s">
        <v>289</v>
      </c>
      <c r="D38" s="314"/>
      <c r="E38" s="313" t="s">
        <v>290</v>
      </c>
      <c r="F38" s="314"/>
      <c r="G38" s="315" t="s">
        <v>152</v>
      </c>
    </row>
    <row r="39" spans="2:8" x14ac:dyDescent="0.25">
      <c r="B39" s="215" t="s">
        <v>291</v>
      </c>
      <c r="C39" s="113" t="s">
        <v>276</v>
      </c>
      <c r="D39" s="113" t="s">
        <v>278</v>
      </c>
      <c r="E39" s="113" t="s">
        <v>276</v>
      </c>
      <c r="F39" s="113" t="s">
        <v>278</v>
      </c>
      <c r="G39" s="316"/>
    </row>
    <row r="40" spans="2:8" x14ac:dyDescent="0.25">
      <c r="B40" s="215" t="s">
        <v>292</v>
      </c>
      <c r="C40" s="210">
        <v>50</v>
      </c>
      <c r="D40" s="210">
        <v>0</v>
      </c>
      <c r="E40" s="210">
        <f>C40*$I$5</f>
        <v>250</v>
      </c>
      <c r="F40" s="210">
        <f>D40*$I$5</f>
        <v>0</v>
      </c>
      <c r="G40" s="210">
        <f>SUM(E40:F40)</f>
        <v>250</v>
      </c>
    </row>
    <row r="41" spans="2:8" x14ac:dyDescent="0.25">
      <c r="B41" s="215" t="s">
        <v>293</v>
      </c>
      <c r="C41" s="210">
        <v>210</v>
      </c>
      <c r="D41" s="210">
        <v>0</v>
      </c>
      <c r="E41" s="210">
        <f t="shared" ref="E41:F43" si="5">C41*$I$5</f>
        <v>1050</v>
      </c>
      <c r="F41" s="210">
        <f t="shared" si="5"/>
        <v>0</v>
      </c>
      <c r="G41" s="210">
        <f t="shared" ref="G41:G44" si="6">SUM(E41:F41)</f>
        <v>1050</v>
      </c>
    </row>
    <row r="42" spans="2:8" x14ac:dyDescent="0.25">
      <c r="B42" s="215" t="s">
        <v>294</v>
      </c>
      <c r="C42" s="210">
        <v>133</v>
      </c>
      <c r="D42" s="210">
        <v>0</v>
      </c>
      <c r="E42" s="210">
        <f t="shared" si="5"/>
        <v>665</v>
      </c>
      <c r="F42" s="210">
        <f t="shared" si="5"/>
        <v>0</v>
      </c>
      <c r="G42" s="210">
        <f t="shared" si="6"/>
        <v>665</v>
      </c>
    </row>
    <row r="43" spans="2:8" x14ac:dyDescent="0.25">
      <c r="B43" s="215" t="s">
        <v>295</v>
      </c>
      <c r="C43" s="210">
        <v>0</v>
      </c>
      <c r="D43" s="210">
        <v>1000</v>
      </c>
      <c r="E43" s="210">
        <f t="shared" si="5"/>
        <v>0</v>
      </c>
      <c r="F43" s="210">
        <f t="shared" si="5"/>
        <v>5000</v>
      </c>
      <c r="G43" s="210">
        <f t="shared" si="6"/>
        <v>5000</v>
      </c>
    </row>
    <row r="44" spans="2:8" x14ac:dyDescent="0.25">
      <c r="B44" s="215" t="s">
        <v>152</v>
      </c>
      <c r="C44" s="210">
        <f>SUM(C40:C43)</f>
        <v>393</v>
      </c>
      <c r="D44" s="210">
        <f t="shared" ref="D44:F44" si="7">SUM(D40:D43)</f>
        <v>1000</v>
      </c>
      <c r="E44" s="210">
        <f t="shared" si="7"/>
        <v>1965</v>
      </c>
      <c r="F44" s="210">
        <f t="shared" si="7"/>
        <v>5000</v>
      </c>
      <c r="G44" s="210">
        <f t="shared" si="6"/>
        <v>6965</v>
      </c>
    </row>
    <row r="46" spans="2:8" x14ac:dyDescent="0.25">
      <c r="B46" s="294" t="s">
        <v>296</v>
      </c>
      <c r="C46" s="294"/>
      <c r="D46" s="294"/>
      <c r="E46" s="294"/>
      <c r="F46" s="294"/>
    </row>
    <row r="47" spans="2:8" x14ac:dyDescent="0.25">
      <c r="B47" s="213" t="s">
        <v>297</v>
      </c>
      <c r="C47" s="213" t="s">
        <v>298</v>
      </c>
      <c r="D47" s="213" t="s">
        <v>276</v>
      </c>
      <c r="E47" s="213" t="s">
        <v>278</v>
      </c>
      <c r="F47" s="213" t="s">
        <v>152</v>
      </c>
    </row>
    <row r="48" spans="2:8" ht="27.6" x14ac:dyDescent="0.25">
      <c r="B48" s="216" t="s">
        <v>299</v>
      </c>
      <c r="C48" s="217">
        <f>G34</f>
        <v>2910.0000000000005</v>
      </c>
      <c r="D48" s="217">
        <f ca="1">E34</f>
        <v>54990</v>
      </c>
      <c r="E48" s="217">
        <f ca="1">F34</f>
        <v>46860</v>
      </c>
      <c r="F48" s="217">
        <f ca="1">SUM(C48:E48)</f>
        <v>104760</v>
      </c>
    </row>
    <row r="49" spans="2:6" x14ac:dyDescent="0.25">
      <c r="B49" s="215" t="s">
        <v>300</v>
      </c>
      <c r="C49" s="217">
        <v>0</v>
      </c>
      <c r="D49" s="217">
        <f>E44</f>
        <v>1965</v>
      </c>
      <c r="E49" s="217">
        <f>F44</f>
        <v>5000</v>
      </c>
      <c r="F49" s="217">
        <f t="shared" ref="F49" si="8">SUM(C49:E49)</f>
        <v>6965</v>
      </c>
    </row>
    <row r="50" spans="2:6" ht="26.55" customHeight="1" x14ac:dyDescent="0.25">
      <c r="B50" s="218" t="s">
        <v>301</v>
      </c>
      <c r="C50" s="219">
        <v>0</v>
      </c>
      <c r="D50" s="220">
        <f>G20</f>
        <v>8333.3333333333339</v>
      </c>
      <c r="E50" s="220">
        <f>SUM(G21:H22)</f>
        <v>2250</v>
      </c>
      <c r="F50" s="220">
        <f>SUM(D50:E50)</f>
        <v>10583.333333333334</v>
      </c>
    </row>
    <row r="51" spans="2:6" x14ac:dyDescent="0.25">
      <c r="B51" s="215" t="s">
        <v>302</v>
      </c>
      <c r="C51" s="217">
        <f>C48*0.1</f>
        <v>291.00000000000006</v>
      </c>
      <c r="D51" s="217">
        <f ca="1">D48*0.1</f>
        <v>5499</v>
      </c>
      <c r="E51" s="217">
        <f ca="1">E48*0.1</f>
        <v>4686</v>
      </c>
      <c r="F51" s="217">
        <f ca="1">SUM(C51:E51)</f>
        <v>10476</v>
      </c>
    </row>
    <row r="52" spans="2:6" x14ac:dyDescent="0.25">
      <c r="B52" s="215" t="s">
        <v>303</v>
      </c>
      <c r="C52" s="217">
        <f>SUM(C48:C51)</f>
        <v>3201.0000000000005</v>
      </c>
      <c r="D52" s="217">
        <f ca="1">SUM(D48:D51)</f>
        <v>70787.333333333343</v>
      </c>
      <c r="E52" s="217">
        <f ca="1">SUM(E48:E51)</f>
        <v>58796</v>
      </c>
      <c r="F52" s="217">
        <f ca="1">SUM(C52:E52)</f>
        <v>132784.33333333334</v>
      </c>
    </row>
    <row r="53" spans="2:6" ht="55.2" x14ac:dyDescent="0.25">
      <c r="B53" s="216" t="s">
        <v>304</v>
      </c>
      <c r="C53" s="217">
        <f>C52*0.2</f>
        <v>640.20000000000016</v>
      </c>
      <c r="D53" s="217">
        <f t="shared" ref="D53:E53" ca="1" si="9">D52*0.2</f>
        <v>14157.466666666669</v>
      </c>
      <c r="E53" s="217">
        <f t="shared" ca="1" si="9"/>
        <v>11759.2</v>
      </c>
      <c r="F53" s="217">
        <f ca="1">SUM(C53:E53)</f>
        <v>26556.866666666669</v>
      </c>
    </row>
    <row r="54" spans="2:6" x14ac:dyDescent="0.25">
      <c r="B54" s="215" t="s">
        <v>152</v>
      </c>
      <c r="C54" s="217">
        <f>C52*1.2</f>
        <v>3841.2000000000003</v>
      </c>
      <c r="D54" s="217">
        <f ca="1">D52*1.2</f>
        <v>84944.8</v>
      </c>
      <c r="E54" s="217">
        <f ca="1">E52*1.2</f>
        <v>70555.199999999997</v>
      </c>
      <c r="F54" s="217">
        <f ca="1">SUM(C54:E54)</f>
        <v>159341.20000000001</v>
      </c>
    </row>
    <row r="58" spans="2:6" x14ac:dyDescent="0.25">
      <c r="B58" s="294" t="s">
        <v>305</v>
      </c>
      <c r="C58" s="294"/>
      <c r="D58" s="294"/>
      <c r="E58" s="294"/>
      <c r="F58" s="294"/>
    </row>
    <row r="59" spans="2:6" x14ac:dyDescent="0.25">
      <c r="B59" s="219"/>
      <c r="C59" s="219" t="s">
        <v>273</v>
      </c>
      <c r="D59" s="219" t="s">
        <v>276</v>
      </c>
      <c r="E59" s="219" t="s">
        <v>278</v>
      </c>
      <c r="F59" s="219" t="s">
        <v>152</v>
      </c>
    </row>
    <row r="60" spans="2:6" x14ac:dyDescent="0.25">
      <c r="B60" s="219" t="s">
        <v>306</v>
      </c>
      <c r="C60" s="210">
        <v>5190.24</v>
      </c>
      <c r="D60" s="210">
        <v>34988.83</v>
      </c>
      <c r="E60" s="210">
        <v>39324.910000000003</v>
      </c>
      <c r="F60" s="220">
        <f>SUM(C60:E60)</f>
        <v>79503.98000000001</v>
      </c>
    </row>
    <row r="61" spans="2:6" x14ac:dyDescent="0.25">
      <c r="B61" s="219" t="s">
        <v>307</v>
      </c>
      <c r="C61" s="220">
        <f>C54</f>
        <v>3841.2000000000003</v>
      </c>
      <c r="D61" s="220">
        <f t="shared" ref="D61:E61" ca="1" si="10">D54</f>
        <v>84944.8</v>
      </c>
      <c r="E61" s="220">
        <f t="shared" ca="1" si="10"/>
        <v>70555.199999999997</v>
      </c>
      <c r="F61" s="220">
        <f ca="1">SUM(C61:E61)</f>
        <v>159341.20000000001</v>
      </c>
    </row>
    <row r="62" spans="2:6" x14ac:dyDescent="0.25">
      <c r="B62" s="219" t="s">
        <v>152</v>
      </c>
      <c r="C62" s="220">
        <f>SUM(C60:C61)</f>
        <v>9031.44</v>
      </c>
      <c r="D62" s="220">
        <f t="shared" ref="D62:F62" ca="1" si="11">SUM(D60:D61)</f>
        <v>119933.63</v>
      </c>
      <c r="E62" s="220">
        <f t="shared" ca="1" si="11"/>
        <v>109880.11</v>
      </c>
      <c r="F62" s="220">
        <f t="shared" ca="1" si="11"/>
        <v>238845.18000000002</v>
      </c>
    </row>
  </sheetData>
  <mergeCells count="38">
    <mergeCell ref="B58:F58"/>
    <mergeCell ref="C23:D23"/>
    <mergeCell ref="E23:F23"/>
    <mergeCell ref="G23:H23"/>
    <mergeCell ref="B26:H26"/>
    <mergeCell ref="B27:B28"/>
    <mergeCell ref="C27:D28"/>
    <mergeCell ref="E27:G27"/>
    <mergeCell ref="H27:H28"/>
    <mergeCell ref="B37:G37"/>
    <mergeCell ref="C38:D38"/>
    <mergeCell ref="E38:F38"/>
    <mergeCell ref="G38:G39"/>
    <mergeCell ref="B46:F46"/>
    <mergeCell ref="C21:D21"/>
    <mergeCell ref="E21:F21"/>
    <mergeCell ref="G21:H21"/>
    <mergeCell ref="C22:D22"/>
    <mergeCell ref="E22:F22"/>
    <mergeCell ref="G22:H22"/>
    <mergeCell ref="C19:D19"/>
    <mergeCell ref="E19:F19"/>
    <mergeCell ref="G19:H19"/>
    <mergeCell ref="C20:D20"/>
    <mergeCell ref="E20:F20"/>
    <mergeCell ref="G20:H20"/>
    <mergeCell ref="B18:H18"/>
    <mergeCell ref="I2:I4"/>
    <mergeCell ref="B3:G3"/>
    <mergeCell ref="B4:C4"/>
    <mergeCell ref="F4:G4"/>
    <mergeCell ref="B5:C5"/>
    <mergeCell ref="F5:G5"/>
    <mergeCell ref="B6:C6"/>
    <mergeCell ref="F6:G7"/>
    <mergeCell ref="B7:C7"/>
    <mergeCell ref="B9:H9"/>
    <mergeCell ref="C10:D10"/>
  </mergeCells>
  <dataValidations count="1">
    <dataValidation type="list" allowBlank="1" showInputMessage="1" showErrorMessage="1" sqref="B20:B21">
      <formula1>$C$5:$C$7</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S56"/>
  <sheetViews>
    <sheetView workbookViewId="0">
      <selection activeCell="M56" sqref="B2:M56"/>
    </sheetView>
  </sheetViews>
  <sheetFormatPr baseColWidth="10" defaultColWidth="11.19921875" defaultRowHeight="15.6" x14ac:dyDescent="0.3"/>
  <cols>
    <col min="1" max="1" width="1.3984375" style="108" customWidth="1"/>
    <col min="2" max="2" width="3.69921875" style="108" customWidth="1"/>
    <col min="3" max="3" width="4.09765625" style="109" customWidth="1"/>
    <col min="4" max="4" width="30.296875" style="109" customWidth="1"/>
    <col min="5" max="5" width="11.19921875" style="108"/>
    <col min="6" max="6" width="11.59765625" style="108" customWidth="1"/>
    <col min="7" max="7" width="4.59765625" style="108" bestFit="1" customWidth="1"/>
    <col min="8" max="8" width="6" style="108" bestFit="1" customWidth="1"/>
    <col min="9" max="9" width="12" style="108" customWidth="1"/>
    <col min="10" max="10" width="11.5" style="108" customWidth="1"/>
    <col min="11" max="11" width="6.3984375" style="108" customWidth="1"/>
    <col min="12" max="12" width="6" style="108" hidden="1" customWidth="1"/>
    <col min="13" max="13" width="30.3984375" style="110" customWidth="1"/>
    <col min="14" max="15" width="11.19921875" style="108"/>
    <col min="16" max="16" width="8.5" style="110" bestFit="1" customWidth="1"/>
    <col min="17" max="17" width="8.3984375" style="110" bestFit="1" customWidth="1"/>
    <col min="18" max="19" width="9.09765625" style="108" bestFit="1" customWidth="1"/>
    <col min="20" max="16384" width="11.19921875" style="108"/>
  </cols>
  <sheetData>
    <row r="1" spans="2:17" ht="10.8" customHeight="1" x14ac:dyDescent="0.3"/>
    <row r="2" spans="2:17" ht="15" customHeight="1" x14ac:dyDescent="0.25">
      <c r="B2" s="317" t="s">
        <v>166</v>
      </c>
      <c r="C2" s="317"/>
      <c r="D2" s="317" t="s">
        <v>5</v>
      </c>
      <c r="E2" s="327" t="s">
        <v>179</v>
      </c>
      <c r="F2" s="327"/>
      <c r="G2" s="327"/>
      <c r="H2" s="327"/>
      <c r="I2" s="327" t="s">
        <v>180</v>
      </c>
      <c r="J2" s="327"/>
      <c r="K2" s="327"/>
      <c r="L2" s="327"/>
      <c r="M2" s="317" t="s">
        <v>181</v>
      </c>
    </row>
    <row r="3" spans="2:17" s="112" customFormat="1" ht="31.2" x14ac:dyDescent="0.25">
      <c r="B3" s="317"/>
      <c r="C3" s="317"/>
      <c r="D3" s="317"/>
      <c r="E3" s="111" t="s">
        <v>182</v>
      </c>
      <c r="F3" s="111" t="s">
        <v>183</v>
      </c>
      <c r="G3" s="111" t="s">
        <v>184</v>
      </c>
      <c r="H3" s="111" t="s">
        <v>185</v>
      </c>
      <c r="I3" s="111" t="s">
        <v>182</v>
      </c>
      <c r="J3" s="111" t="s">
        <v>186</v>
      </c>
      <c r="K3" s="111" t="s">
        <v>184</v>
      </c>
      <c r="L3" s="111" t="s">
        <v>185</v>
      </c>
      <c r="M3" s="317"/>
    </row>
    <row r="4" spans="2:17" ht="14.4" x14ac:dyDescent="0.25">
      <c r="B4" s="326" t="s">
        <v>164</v>
      </c>
      <c r="C4" s="326"/>
      <c r="D4" s="142" t="s">
        <v>196</v>
      </c>
      <c r="E4" s="143">
        <v>44956</v>
      </c>
      <c r="F4" s="144">
        <v>44956</v>
      </c>
      <c r="G4" s="145">
        <v>1</v>
      </c>
      <c r="H4" s="145">
        <v>8</v>
      </c>
      <c r="I4" s="144">
        <v>44956</v>
      </c>
      <c r="J4" s="144">
        <v>44957</v>
      </c>
      <c r="K4" s="145">
        <v>2</v>
      </c>
      <c r="L4" s="113">
        <f>(K4*4*2)</f>
        <v>16</v>
      </c>
      <c r="M4" s="169" t="s">
        <v>248</v>
      </c>
      <c r="P4" s="108"/>
      <c r="Q4" s="108"/>
    </row>
    <row r="5" spans="2:17" ht="14.4" x14ac:dyDescent="0.25">
      <c r="B5" s="326"/>
      <c r="C5" s="326"/>
      <c r="D5" s="171" t="s">
        <v>197</v>
      </c>
      <c r="E5" s="172">
        <v>44956</v>
      </c>
      <c r="F5" s="173">
        <v>44959</v>
      </c>
      <c r="G5" s="174">
        <v>4</v>
      </c>
      <c r="H5" s="174">
        <v>32</v>
      </c>
      <c r="I5" s="173">
        <v>44958</v>
      </c>
      <c r="J5" s="173">
        <v>44966</v>
      </c>
      <c r="K5" s="174">
        <v>7</v>
      </c>
      <c r="L5" s="113">
        <f t="shared" ref="L5:L56" si="0">(K5*4*2)</f>
        <v>56</v>
      </c>
      <c r="M5" s="175" t="s">
        <v>248</v>
      </c>
      <c r="P5" s="108"/>
      <c r="Q5" s="108"/>
    </row>
    <row r="6" spans="2:17" ht="14.4" x14ac:dyDescent="0.25">
      <c r="B6" s="326"/>
      <c r="C6" s="326"/>
      <c r="D6" s="147" t="s">
        <v>198</v>
      </c>
      <c r="E6" s="143">
        <v>44956</v>
      </c>
      <c r="F6" s="144">
        <v>44957</v>
      </c>
      <c r="G6" s="145">
        <v>2</v>
      </c>
      <c r="H6" s="145">
        <v>16</v>
      </c>
      <c r="I6" s="144">
        <v>44958</v>
      </c>
      <c r="J6" s="144">
        <v>44966</v>
      </c>
      <c r="K6" s="145">
        <v>7</v>
      </c>
      <c r="L6" s="113">
        <f t="shared" si="0"/>
        <v>56</v>
      </c>
      <c r="M6" s="169" t="s">
        <v>248</v>
      </c>
      <c r="P6" s="108"/>
      <c r="Q6" s="108"/>
    </row>
    <row r="7" spans="2:17" ht="14.4" x14ac:dyDescent="0.25">
      <c r="B7" s="326"/>
      <c r="C7" s="326"/>
      <c r="D7" s="147" t="s">
        <v>199</v>
      </c>
      <c r="E7" s="143">
        <v>44958</v>
      </c>
      <c r="F7" s="144">
        <v>44959</v>
      </c>
      <c r="G7" s="145">
        <v>2</v>
      </c>
      <c r="H7" s="145">
        <v>16</v>
      </c>
      <c r="I7" s="144">
        <v>44958</v>
      </c>
      <c r="J7" s="144">
        <v>44966</v>
      </c>
      <c r="K7" s="145">
        <v>7</v>
      </c>
      <c r="L7" s="113">
        <f t="shared" si="0"/>
        <v>56</v>
      </c>
      <c r="M7" s="169" t="s">
        <v>248</v>
      </c>
      <c r="P7" s="108"/>
      <c r="Q7" s="108"/>
    </row>
    <row r="8" spans="2:17" ht="14.4" x14ac:dyDescent="0.25">
      <c r="B8" s="326"/>
      <c r="C8" s="326"/>
      <c r="D8" s="147" t="s">
        <v>200</v>
      </c>
      <c r="E8" s="143">
        <v>44959</v>
      </c>
      <c r="F8" s="144">
        <v>44959</v>
      </c>
      <c r="G8" s="145">
        <v>1</v>
      </c>
      <c r="H8" s="145">
        <v>8</v>
      </c>
      <c r="I8" s="144">
        <v>44958</v>
      </c>
      <c r="J8" s="144">
        <v>44966</v>
      </c>
      <c r="K8" s="145">
        <v>7</v>
      </c>
      <c r="L8" s="113">
        <f t="shared" si="0"/>
        <v>56</v>
      </c>
      <c r="M8" s="169" t="s">
        <v>248</v>
      </c>
      <c r="P8" s="108"/>
      <c r="Q8" s="108"/>
    </row>
    <row r="9" spans="2:17" ht="96.6" x14ac:dyDescent="0.25">
      <c r="B9" s="320" t="s">
        <v>153</v>
      </c>
      <c r="C9" s="324" t="s">
        <v>242</v>
      </c>
      <c r="D9" s="150" t="s">
        <v>201</v>
      </c>
      <c r="E9" s="151">
        <v>44959</v>
      </c>
      <c r="F9" s="152">
        <v>44983</v>
      </c>
      <c r="G9" s="153">
        <v>17</v>
      </c>
      <c r="H9" s="153">
        <v>136</v>
      </c>
      <c r="I9" s="152">
        <v>44959</v>
      </c>
      <c r="J9" s="152">
        <v>44986</v>
      </c>
      <c r="K9" s="153">
        <v>20</v>
      </c>
      <c r="L9" s="113">
        <f t="shared" si="0"/>
        <v>160</v>
      </c>
      <c r="M9" s="154" t="s">
        <v>243</v>
      </c>
      <c r="P9" s="108"/>
      <c r="Q9" s="108"/>
    </row>
    <row r="10" spans="2:17" ht="14.4" x14ac:dyDescent="0.25">
      <c r="B10" s="320"/>
      <c r="C10" s="324"/>
      <c r="D10" s="147" t="s">
        <v>202</v>
      </c>
      <c r="E10" s="143">
        <v>44959</v>
      </c>
      <c r="F10" s="144">
        <v>44973</v>
      </c>
      <c r="G10" s="145">
        <v>11</v>
      </c>
      <c r="H10" s="145">
        <v>88</v>
      </c>
      <c r="I10" s="144">
        <v>44959</v>
      </c>
      <c r="J10" s="144">
        <v>44980</v>
      </c>
      <c r="K10" s="145">
        <v>16</v>
      </c>
      <c r="L10" s="113">
        <f t="shared" si="0"/>
        <v>128</v>
      </c>
      <c r="M10" s="169" t="s">
        <v>248</v>
      </c>
      <c r="P10" s="108"/>
      <c r="Q10" s="108"/>
    </row>
    <row r="11" spans="2:17" ht="14.4" x14ac:dyDescent="0.25">
      <c r="B11" s="320"/>
      <c r="C11" s="324"/>
      <c r="D11" s="147" t="s">
        <v>203</v>
      </c>
      <c r="E11" s="143">
        <v>44973</v>
      </c>
      <c r="F11" s="144">
        <v>44983</v>
      </c>
      <c r="G11" s="145">
        <v>7</v>
      </c>
      <c r="H11" s="145">
        <v>56</v>
      </c>
      <c r="I11" s="144">
        <v>44980</v>
      </c>
      <c r="J11" s="144">
        <v>44986</v>
      </c>
      <c r="K11" s="145">
        <v>5</v>
      </c>
      <c r="L11" s="113">
        <f t="shared" si="0"/>
        <v>40</v>
      </c>
      <c r="M11" s="169" t="s">
        <v>248</v>
      </c>
      <c r="P11" s="108"/>
      <c r="Q11" s="108"/>
    </row>
    <row r="12" spans="2:17" ht="14.4" x14ac:dyDescent="0.25">
      <c r="B12" s="320"/>
      <c r="C12" s="324"/>
      <c r="D12" s="147" t="s">
        <v>204</v>
      </c>
      <c r="E12" s="143">
        <v>44973</v>
      </c>
      <c r="F12" s="144">
        <v>44983</v>
      </c>
      <c r="G12" s="145">
        <v>7</v>
      </c>
      <c r="H12" s="145">
        <v>56</v>
      </c>
      <c r="I12" s="144">
        <v>44974</v>
      </c>
      <c r="J12" s="144">
        <v>44987</v>
      </c>
      <c r="K12" s="145">
        <v>10</v>
      </c>
      <c r="L12" s="113">
        <f t="shared" si="0"/>
        <v>80</v>
      </c>
      <c r="M12" s="169" t="s">
        <v>248</v>
      </c>
      <c r="P12" s="108"/>
      <c r="Q12" s="108"/>
    </row>
    <row r="13" spans="2:17" ht="14.4" x14ac:dyDescent="0.25">
      <c r="B13" s="320"/>
      <c r="C13" s="324"/>
      <c r="D13" s="148" t="s">
        <v>205</v>
      </c>
      <c r="E13" s="143">
        <v>44973</v>
      </c>
      <c r="F13" s="144">
        <v>44983</v>
      </c>
      <c r="G13" s="145">
        <v>7</v>
      </c>
      <c r="H13" s="145">
        <v>56</v>
      </c>
      <c r="I13" s="144">
        <v>44974</v>
      </c>
      <c r="J13" s="144">
        <v>44987</v>
      </c>
      <c r="K13" s="145">
        <v>10</v>
      </c>
      <c r="L13" s="113">
        <f t="shared" si="0"/>
        <v>80</v>
      </c>
      <c r="M13" s="169" t="s">
        <v>248</v>
      </c>
      <c r="P13" s="108"/>
      <c r="Q13" s="108"/>
    </row>
    <row r="14" spans="2:17" ht="14.4" x14ac:dyDescent="0.25">
      <c r="B14" s="320"/>
      <c r="C14" s="324"/>
      <c r="D14" s="142" t="s">
        <v>206</v>
      </c>
      <c r="E14" s="143">
        <v>44964</v>
      </c>
      <c r="F14" s="144">
        <v>44964</v>
      </c>
      <c r="G14" s="145">
        <v>1</v>
      </c>
      <c r="H14" s="145">
        <v>8</v>
      </c>
      <c r="I14" s="143">
        <v>44964</v>
      </c>
      <c r="J14" s="143">
        <v>44964</v>
      </c>
      <c r="K14" s="145">
        <v>1</v>
      </c>
      <c r="L14" s="113">
        <f t="shared" si="0"/>
        <v>8</v>
      </c>
      <c r="M14" s="169" t="s">
        <v>248</v>
      </c>
      <c r="P14" s="108"/>
      <c r="Q14" s="108"/>
    </row>
    <row r="15" spans="2:17" ht="110.4" x14ac:dyDescent="0.25">
      <c r="B15" s="320"/>
      <c r="C15" s="324"/>
      <c r="D15" s="150" t="s">
        <v>155</v>
      </c>
      <c r="E15" s="151">
        <v>44959</v>
      </c>
      <c r="F15" s="152">
        <v>45015</v>
      </c>
      <c r="G15" s="153">
        <v>41</v>
      </c>
      <c r="H15" s="153">
        <v>328</v>
      </c>
      <c r="I15" s="152">
        <v>44956</v>
      </c>
      <c r="J15" s="152">
        <v>45054</v>
      </c>
      <c r="K15" s="153">
        <v>71</v>
      </c>
      <c r="L15" s="113">
        <f t="shared" si="0"/>
        <v>568</v>
      </c>
      <c r="M15" s="154" t="s">
        <v>244</v>
      </c>
      <c r="P15" s="108"/>
      <c r="Q15" s="108"/>
    </row>
    <row r="16" spans="2:17" ht="14.4" x14ac:dyDescent="0.25">
      <c r="B16" s="320"/>
      <c r="C16" s="324"/>
      <c r="D16" s="147" t="s">
        <v>207</v>
      </c>
      <c r="E16" s="143">
        <v>44959</v>
      </c>
      <c r="F16" s="144">
        <v>44985</v>
      </c>
      <c r="G16" s="145">
        <v>19</v>
      </c>
      <c r="H16" s="145">
        <v>152</v>
      </c>
      <c r="I16" s="144">
        <v>44965</v>
      </c>
      <c r="J16" s="144">
        <v>44988</v>
      </c>
      <c r="K16" s="145">
        <v>18</v>
      </c>
      <c r="L16" s="113">
        <f t="shared" si="0"/>
        <v>144</v>
      </c>
      <c r="M16" s="169" t="s">
        <v>248</v>
      </c>
      <c r="P16" s="108"/>
      <c r="Q16" s="108"/>
    </row>
    <row r="17" spans="2:19" ht="14.4" x14ac:dyDescent="0.25">
      <c r="B17" s="320"/>
      <c r="C17" s="324"/>
      <c r="D17" s="147" t="s">
        <v>208</v>
      </c>
      <c r="E17" s="143">
        <v>44977</v>
      </c>
      <c r="F17" s="144">
        <v>44992</v>
      </c>
      <c r="G17" s="145">
        <v>12</v>
      </c>
      <c r="H17" s="145">
        <v>96</v>
      </c>
      <c r="I17" s="144">
        <v>44979</v>
      </c>
      <c r="J17" s="144">
        <v>44995</v>
      </c>
      <c r="K17" s="145">
        <v>13</v>
      </c>
      <c r="L17" s="113">
        <f t="shared" si="0"/>
        <v>104</v>
      </c>
      <c r="M17" s="169" t="s">
        <v>248</v>
      </c>
      <c r="P17" s="108"/>
      <c r="Q17" s="108"/>
    </row>
    <row r="18" spans="2:19" ht="14.4" x14ac:dyDescent="0.25">
      <c r="B18" s="320"/>
      <c r="C18" s="324"/>
      <c r="D18" s="147" t="s">
        <v>209</v>
      </c>
      <c r="E18" s="143">
        <v>44991</v>
      </c>
      <c r="F18" s="144">
        <v>44995</v>
      </c>
      <c r="G18" s="145">
        <v>5</v>
      </c>
      <c r="H18" s="145">
        <v>40</v>
      </c>
      <c r="I18" s="144">
        <v>44993</v>
      </c>
      <c r="J18" s="144">
        <v>45043</v>
      </c>
      <c r="K18" s="145">
        <v>37</v>
      </c>
      <c r="L18" s="113">
        <f t="shared" si="0"/>
        <v>296</v>
      </c>
      <c r="M18" s="169" t="s">
        <v>248</v>
      </c>
      <c r="P18" s="108"/>
      <c r="Q18" s="108"/>
    </row>
    <row r="19" spans="2:19" ht="14.4" x14ac:dyDescent="0.25">
      <c r="B19" s="320"/>
      <c r="C19" s="324"/>
      <c r="D19" s="148" t="s">
        <v>210</v>
      </c>
      <c r="E19" s="143">
        <v>44991</v>
      </c>
      <c r="F19" s="144">
        <v>44992</v>
      </c>
      <c r="G19" s="145">
        <v>2</v>
      </c>
      <c r="H19" s="145">
        <v>16</v>
      </c>
      <c r="I19" s="144">
        <v>44993</v>
      </c>
      <c r="J19" s="144">
        <v>45043</v>
      </c>
      <c r="K19" s="145">
        <v>37</v>
      </c>
      <c r="L19" s="113">
        <f t="shared" si="0"/>
        <v>296</v>
      </c>
      <c r="M19" s="169" t="s">
        <v>248</v>
      </c>
      <c r="P19" s="108"/>
      <c r="Q19" s="108"/>
    </row>
    <row r="20" spans="2:19" ht="14.4" x14ac:dyDescent="0.25">
      <c r="B20" s="320"/>
      <c r="C20" s="324"/>
      <c r="D20" s="148" t="s">
        <v>211</v>
      </c>
      <c r="E20" s="143">
        <v>44992</v>
      </c>
      <c r="F20" s="144">
        <v>44994</v>
      </c>
      <c r="G20" s="145">
        <v>3</v>
      </c>
      <c r="H20" s="145">
        <v>24</v>
      </c>
      <c r="I20" s="144">
        <v>44993</v>
      </c>
      <c r="J20" s="144">
        <v>45043</v>
      </c>
      <c r="K20" s="145">
        <v>37</v>
      </c>
      <c r="L20" s="113">
        <f t="shared" si="0"/>
        <v>296</v>
      </c>
      <c r="M20" s="169" t="s">
        <v>248</v>
      </c>
      <c r="P20" s="108"/>
      <c r="Q20" s="108"/>
    </row>
    <row r="21" spans="2:19" ht="14.4" x14ac:dyDescent="0.25">
      <c r="B21" s="320"/>
      <c r="C21" s="324"/>
      <c r="D21" s="148" t="s">
        <v>212</v>
      </c>
      <c r="E21" s="143">
        <v>44994</v>
      </c>
      <c r="F21" s="144">
        <v>44995</v>
      </c>
      <c r="G21" s="145">
        <v>2</v>
      </c>
      <c r="H21" s="145">
        <v>16</v>
      </c>
      <c r="I21" s="144">
        <v>44993</v>
      </c>
      <c r="J21" s="144">
        <v>45043</v>
      </c>
      <c r="K21" s="145">
        <v>37</v>
      </c>
      <c r="L21" s="113">
        <f t="shared" si="0"/>
        <v>296</v>
      </c>
      <c r="M21" s="169" t="s">
        <v>248</v>
      </c>
      <c r="P21" s="108"/>
      <c r="Q21" s="108"/>
    </row>
    <row r="22" spans="2:19" ht="14.4" x14ac:dyDescent="0.25">
      <c r="B22" s="320"/>
      <c r="C22" s="324"/>
      <c r="D22" s="142" t="s">
        <v>206</v>
      </c>
      <c r="E22" s="143">
        <v>44994</v>
      </c>
      <c r="F22" s="144">
        <v>44994</v>
      </c>
      <c r="G22" s="145">
        <v>1</v>
      </c>
      <c r="H22" s="145">
        <v>8</v>
      </c>
      <c r="I22" s="143">
        <v>44994</v>
      </c>
      <c r="J22" s="143">
        <v>44994</v>
      </c>
      <c r="K22" s="145">
        <v>1</v>
      </c>
      <c r="L22" s="113">
        <f t="shared" si="0"/>
        <v>8</v>
      </c>
      <c r="M22" s="169" t="s">
        <v>248</v>
      </c>
      <c r="P22" s="108"/>
      <c r="Q22" s="108"/>
    </row>
    <row r="23" spans="2:19" ht="14.4" x14ac:dyDescent="0.25">
      <c r="B23" s="320"/>
      <c r="C23" s="324"/>
      <c r="D23" s="147" t="s">
        <v>213</v>
      </c>
      <c r="E23" s="143">
        <v>44998</v>
      </c>
      <c r="F23" s="144">
        <v>45002</v>
      </c>
      <c r="G23" s="145">
        <v>5</v>
      </c>
      <c r="H23" s="145">
        <v>40</v>
      </c>
      <c r="I23" s="144">
        <v>45012</v>
      </c>
      <c r="J23" s="144">
        <v>45050</v>
      </c>
      <c r="K23" s="145">
        <v>29</v>
      </c>
      <c r="L23" s="113">
        <f t="shared" si="0"/>
        <v>232</v>
      </c>
      <c r="M23" s="169" t="s">
        <v>248</v>
      </c>
      <c r="P23" s="108"/>
      <c r="Q23" s="108"/>
    </row>
    <row r="24" spans="2:19" ht="14.4" x14ac:dyDescent="0.25">
      <c r="B24" s="320"/>
      <c r="C24" s="324"/>
      <c r="D24" s="148" t="s">
        <v>214</v>
      </c>
      <c r="E24" s="143">
        <v>44998</v>
      </c>
      <c r="F24" s="143">
        <v>44999</v>
      </c>
      <c r="G24" s="145">
        <v>2</v>
      </c>
      <c r="H24" s="145">
        <v>16</v>
      </c>
      <c r="I24" s="144">
        <v>45012</v>
      </c>
      <c r="J24" s="144">
        <v>45040</v>
      </c>
      <c r="K24" s="145">
        <v>21</v>
      </c>
      <c r="L24" s="113">
        <f t="shared" si="0"/>
        <v>168</v>
      </c>
      <c r="M24" s="169" t="s">
        <v>248</v>
      </c>
      <c r="P24" s="108"/>
      <c r="Q24" s="108"/>
    </row>
    <row r="25" spans="2:19" ht="14.4" x14ac:dyDescent="0.25">
      <c r="B25" s="320"/>
      <c r="C25" s="324"/>
      <c r="D25" s="148" t="s">
        <v>215</v>
      </c>
      <c r="E25" s="143">
        <v>44999</v>
      </c>
      <c r="F25" s="144">
        <v>45000</v>
      </c>
      <c r="G25" s="145">
        <v>2</v>
      </c>
      <c r="H25" s="145">
        <v>16</v>
      </c>
      <c r="I25" s="144">
        <v>45036</v>
      </c>
      <c r="J25" s="144">
        <v>45050</v>
      </c>
      <c r="K25" s="145">
        <v>11</v>
      </c>
      <c r="L25" s="113">
        <f t="shared" si="0"/>
        <v>88</v>
      </c>
      <c r="M25" s="169" t="s">
        <v>248</v>
      </c>
      <c r="P25" s="108"/>
      <c r="Q25" s="108"/>
    </row>
    <row r="26" spans="2:19" ht="14.4" x14ac:dyDescent="0.25">
      <c r="B26" s="320"/>
      <c r="C26" s="324"/>
      <c r="D26" s="148" t="s">
        <v>216</v>
      </c>
      <c r="E26" s="143">
        <v>45000</v>
      </c>
      <c r="F26" s="144">
        <v>45001</v>
      </c>
      <c r="G26" s="145">
        <v>2</v>
      </c>
      <c r="H26" s="145">
        <v>16</v>
      </c>
      <c r="I26" s="144">
        <v>45014</v>
      </c>
      <c r="J26" s="144">
        <v>45050</v>
      </c>
      <c r="K26" s="145">
        <v>27</v>
      </c>
      <c r="L26" s="113">
        <f t="shared" si="0"/>
        <v>216</v>
      </c>
      <c r="M26" s="169" t="s">
        <v>248</v>
      </c>
      <c r="P26" s="108"/>
      <c r="Q26" s="108"/>
    </row>
    <row r="27" spans="2:19" ht="14.4" x14ac:dyDescent="0.25">
      <c r="B27" s="320"/>
      <c r="C27" s="324"/>
      <c r="D27" s="148" t="s">
        <v>217</v>
      </c>
      <c r="E27" s="143">
        <v>45002</v>
      </c>
      <c r="F27" s="144">
        <v>45002</v>
      </c>
      <c r="G27" s="145">
        <v>1</v>
      </c>
      <c r="H27" s="145">
        <v>8</v>
      </c>
      <c r="I27" s="144">
        <v>44993</v>
      </c>
      <c r="J27" s="144">
        <v>45006</v>
      </c>
      <c r="K27" s="145">
        <v>10</v>
      </c>
      <c r="L27" s="113">
        <f t="shared" si="0"/>
        <v>80</v>
      </c>
      <c r="M27" s="169" t="s">
        <v>248</v>
      </c>
      <c r="P27" s="114"/>
      <c r="Q27" s="114"/>
      <c r="R27" s="114"/>
      <c r="S27" s="114"/>
    </row>
    <row r="28" spans="2:19" ht="14.4" x14ac:dyDescent="0.25">
      <c r="B28" s="320"/>
      <c r="C28" s="324"/>
      <c r="D28" s="147" t="s">
        <v>218</v>
      </c>
      <c r="E28" s="143">
        <v>45005</v>
      </c>
      <c r="F28" s="144">
        <v>45009</v>
      </c>
      <c r="G28" s="145">
        <v>5</v>
      </c>
      <c r="H28" s="145">
        <v>40</v>
      </c>
      <c r="I28" s="144">
        <v>44972</v>
      </c>
      <c r="J28" s="144">
        <v>45000</v>
      </c>
      <c r="K28" s="145">
        <v>21</v>
      </c>
      <c r="L28" s="113">
        <f t="shared" si="0"/>
        <v>168</v>
      </c>
      <c r="M28" s="169" t="s">
        <v>248</v>
      </c>
      <c r="P28" s="114"/>
      <c r="Q28" s="114"/>
      <c r="R28" s="114"/>
      <c r="S28" s="114"/>
    </row>
    <row r="29" spans="2:19" ht="14.4" x14ac:dyDescent="0.25">
      <c r="B29" s="320"/>
      <c r="C29" s="324"/>
      <c r="D29" s="148" t="s">
        <v>219</v>
      </c>
      <c r="E29" s="143">
        <v>45005</v>
      </c>
      <c r="F29" s="144">
        <v>45009</v>
      </c>
      <c r="G29" s="145">
        <v>5</v>
      </c>
      <c r="H29" s="145">
        <v>40</v>
      </c>
      <c r="I29" s="144">
        <v>44972</v>
      </c>
      <c r="J29" s="144">
        <v>45006</v>
      </c>
      <c r="K29" s="145">
        <v>25</v>
      </c>
      <c r="L29" s="113">
        <f t="shared" si="0"/>
        <v>200</v>
      </c>
      <c r="M29" s="169" t="s">
        <v>248</v>
      </c>
      <c r="P29" s="115"/>
      <c r="Q29" s="114"/>
      <c r="R29" s="116"/>
      <c r="S29" s="117"/>
    </row>
    <row r="30" spans="2:19" ht="14.4" x14ac:dyDescent="0.25">
      <c r="B30" s="320"/>
      <c r="C30" s="324"/>
      <c r="D30" s="147" t="s">
        <v>220</v>
      </c>
      <c r="E30" s="143">
        <v>45012</v>
      </c>
      <c r="F30" s="144">
        <v>45014</v>
      </c>
      <c r="G30" s="145">
        <v>3</v>
      </c>
      <c r="H30" s="145">
        <v>24</v>
      </c>
      <c r="I30" s="144">
        <v>44977</v>
      </c>
      <c r="J30" s="144">
        <v>45006</v>
      </c>
      <c r="K30" s="145">
        <v>22</v>
      </c>
      <c r="L30" s="113">
        <f t="shared" si="0"/>
        <v>176</v>
      </c>
      <c r="M30" s="169" t="s">
        <v>248</v>
      </c>
      <c r="O30" s="110"/>
      <c r="P30" s="115"/>
      <c r="R30" s="116"/>
    </row>
    <row r="31" spans="2:19" ht="14.4" x14ac:dyDescent="0.25">
      <c r="B31" s="320"/>
      <c r="C31" s="324"/>
      <c r="D31" s="147" t="s">
        <v>221</v>
      </c>
      <c r="E31" s="143">
        <v>45014</v>
      </c>
      <c r="F31" s="144">
        <v>45015</v>
      </c>
      <c r="G31" s="145">
        <v>2</v>
      </c>
      <c r="H31" s="145">
        <v>16</v>
      </c>
      <c r="I31" s="144">
        <v>45008</v>
      </c>
      <c r="J31" s="144">
        <v>45008</v>
      </c>
      <c r="K31" s="145">
        <v>1</v>
      </c>
      <c r="L31" s="113">
        <f t="shared" si="0"/>
        <v>8</v>
      </c>
      <c r="M31" s="169" t="s">
        <v>248</v>
      </c>
      <c r="O31" s="110"/>
      <c r="P31" s="115"/>
      <c r="R31" s="116"/>
    </row>
    <row r="32" spans="2:19" ht="14.4" x14ac:dyDescent="0.25">
      <c r="B32" s="320"/>
      <c r="C32" s="324"/>
      <c r="D32" s="147" t="s">
        <v>52</v>
      </c>
      <c r="E32" s="143">
        <v>45014</v>
      </c>
      <c r="F32" s="144">
        <v>45015</v>
      </c>
      <c r="G32" s="145">
        <v>2</v>
      </c>
      <c r="H32" s="145">
        <v>16</v>
      </c>
      <c r="I32" s="144">
        <v>45007</v>
      </c>
      <c r="J32" s="144">
        <v>45009</v>
      </c>
      <c r="K32" s="145">
        <v>3</v>
      </c>
      <c r="L32" s="113">
        <f t="shared" si="0"/>
        <v>24</v>
      </c>
      <c r="M32" s="169" t="s">
        <v>248</v>
      </c>
    </row>
    <row r="33" spans="2:14" ht="14.4" x14ac:dyDescent="0.25">
      <c r="B33" s="320"/>
      <c r="C33" s="324"/>
      <c r="D33" s="147" t="s">
        <v>222</v>
      </c>
      <c r="E33" s="143">
        <v>45015</v>
      </c>
      <c r="F33" s="144">
        <v>45015</v>
      </c>
      <c r="G33" s="145">
        <v>1</v>
      </c>
      <c r="H33" s="145">
        <v>8</v>
      </c>
      <c r="I33" s="144">
        <v>45040</v>
      </c>
      <c r="J33" s="144">
        <v>45054</v>
      </c>
      <c r="K33" s="145">
        <v>11</v>
      </c>
      <c r="L33" s="113">
        <f t="shared" si="0"/>
        <v>88</v>
      </c>
      <c r="M33" s="169" t="s">
        <v>248</v>
      </c>
      <c r="N33" s="110"/>
    </row>
    <row r="34" spans="2:14" ht="14.4" customHeight="1" x14ac:dyDescent="0.25">
      <c r="B34" s="320"/>
      <c r="C34" s="324"/>
      <c r="D34" s="147" t="s">
        <v>200</v>
      </c>
      <c r="E34" s="143">
        <v>45015</v>
      </c>
      <c r="F34" s="144">
        <v>45015</v>
      </c>
      <c r="G34" s="145">
        <v>1</v>
      </c>
      <c r="H34" s="145">
        <v>8</v>
      </c>
      <c r="I34" s="143">
        <v>45015</v>
      </c>
      <c r="J34" s="143">
        <v>45015</v>
      </c>
      <c r="K34" s="145">
        <v>1</v>
      </c>
      <c r="L34" s="113">
        <f t="shared" si="0"/>
        <v>8</v>
      </c>
      <c r="M34" s="169" t="s">
        <v>248</v>
      </c>
    </row>
    <row r="35" spans="2:14" ht="27.6" x14ac:dyDescent="0.25">
      <c r="B35" s="320"/>
      <c r="C35" s="321" t="s">
        <v>223</v>
      </c>
      <c r="D35" s="160" t="s">
        <v>156</v>
      </c>
      <c r="E35" s="161">
        <v>45033</v>
      </c>
      <c r="F35" s="162">
        <v>45042</v>
      </c>
      <c r="G35" s="163">
        <v>8</v>
      </c>
      <c r="H35" s="163">
        <v>8</v>
      </c>
      <c r="I35" s="162">
        <v>45055</v>
      </c>
      <c r="J35" s="162">
        <v>45066</v>
      </c>
      <c r="K35" s="163">
        <v>9</v>
      </c>
      <c r="L35" s="113">
        <f t="shared" si="0"/>
        <v>72</v>
      </c>
      <c r="M35" s="164" t="s">
        <v>245</v>
      </c>
    </row>
    <row r="36" spans="2:14" ht="14.4" customHeight="1" x14ac:dyDescent="0.25">
      <c r="B36" s="320"/>
      <c r="C36" s="322"/>
      <c r="D36" s="147" t="s">
        <v>224</v>
      </c>
      <c r="E36" s="143">
        <v>45033</v>
      </c>
      <c r="F36" s="144">
        <v>45042</v>
      </c>
      <c r="G36" s="145">
        <v>8</v>
      </c>
      <c r="H36" s="145">
        <v>64</v>
      </c>
      <c r="I36" s="144">
        <v>45055</v>
      </c>
      <c r="J36" s="144">
        <v>45066</v>
      </c>
      <c r="K36" s="145">
        <v>9</v>
      </c>
      <c r="L36" s="113">
        <f t="shared" si="0"/>
        <v>72</v>
      </c>
      <c r="M36" s="169" t="s">
        <v>248</v>
      </c>
    </row>
    <row r="37" spans="2:14" ht="14.4" x14ac:dyDescent="0.25">
      <c r="B37" s="320"/>
      <c r="C37" s="322"/>
      <c r="D37" s="147" t="s">
        <v>225</v>
      </c>
      <c r="E37" s="143">
        <v>45033</v>
      </c>
      <c r="F37" s="144">
        <v>45042</v>
      </c>
      <c r="G37" s="145">
        <v>8</v>
      </c>
      <c r="H37" s="145">
        <v>64</v>
      </c>
      <c r="I37" s="144">
        <v>45055</v>
      </c>
      <c r="J37" s="144">
        <v>45066</v>
      </c>
      <c r="K37" s="145">
        <v>9</v>
      </c>
      <c r="L37" s="113">
        <f t="shared" si="0"/>
        <v>72</v>
      </c>
      <c r="M37" s="169" t="s">
        <v>248</v>
      </c>
    </row>
    <row r="38" spans="2:14" ht="14.4" x14ac:dyDescent="0.25">
      <c r="B38" s="320"/>
      <c r="C38" s="322"/>
      <c r="D38" s="147" t="s">
        <v>226</v>
      </c>
      <c r="E38" s="143">
        <v>45033</v>
      </c>
      <c r="F38" s="144">
        <v>45042</v>
      </c>
      <c r="G38" s="145">
        <v>8</v>
      </c>
      <c r="H38" s="145">
        <v>64</v>
      </c>
      <c r="I38" s="144">
        <v>45055</v>
      </c>
      <c r="J38" s="144">
        <v>45066</v>
      </c>
      <c r="K38" s="145">
        <v>9</v>
      </c>
      <c r="L38" s="113">
        <f t="shared" si="0"/>
        <v>72</v>
      </c>
      <c r="M38" s="169" t="s">
        <v>248</v>
      </c>
    </row>
    <row r="39" spans="2:14" ht="14.4" x14ac:dyDescent="0.25">
      <c r="B39" s="320"/>
      <c r="C39" s="322"/>
      <c r="D39" s="142" t="s">
        <v>227</v>
      </c>
      <c r="E39" s="143">
        <v>45033</v>
      </c>
      <c r="F39" s="144">
        <v>45042</v>
      </c>
      <c r="G39" s="145">
        <v>8</v>
      </c>
      <c r="H39" s="145">
        <v>64</v>
      </c>
      <c r="I39" s="144">
        <v>45055</v>
      </c>
      <c r="J39" s="144">
        <v>45066</v>
      </c>
      <c r="K39" s="145">
        <v>9</v>
      </c>
      <c r="L39" s="113">
        <f t="shared" si="0"/>
        <v>72</v>
      </c>
      <c r="M39" s="169" t="s">
        <v>248</v>
      </c>
    </row>
    <row r="40" spans="2:14" ht="14.4" customHeight="1" x14ac:dyDescent="0.25">
      <c r="B40" s="320"/>
      <c r="C40" s="322"/>
      <c r="D40" s="142" t="s">
        <v>228</v>
      </c>
      <c r="E40" s="143">
        <v>45033</v>
      </c>
      <c r="F40" s="144">
        <v>45042</v>
      </c>
      <c r="G40" s="145">
        <v>8</v>
      </c>
      <c r="H40" s="145">
        <v>64</v>
      </c>
      <c r="I40" s="144">
        <v>45055</v>
      </c>
      <c r="J40" s="144">
        <v>45066</v>
      </c>
      <c r="K40" s="145">
        <v>9</v>
      </c>
      <c r="L40" s="113">
        <f t="shared" si="0"/>
        <v>72</v>
      </c>
      <c r="M40" s="169" t="s">
        <v>248</v>
      </c>
    </row>
    <row r="41" spans="2:14" ht="14.4" customHeight="1" x14ac:dyDescent="0.25">
      <c r="B41" s="320"/>
      <c r="C41" s="323"/>
      <c r="D41" s="142" t="s">
        <v>188</v>
      </c>
      <c r="E41" s="143">
        <v>45043</v>
      </c>
      <c r="F41" s="143">
        <v>45043</v>
      </c>
      <c r="G41" s="145">
        <v>1</v>
      </c>
      <c r="H41" s="145">
        <v>8</v>
      </c>
      <c r="I41" s="143">
        <v>45043</v>
      </c>
      <c r="J41" s="143">
        <v>45043</v>
      </c>
      <c r="K41" s="145">
        <v>1</v>
      </c>
      <c r="L41" s="113">
        <f t="shared" si="0"/>
        <v>8</v>
      </c>
      <c r="M41" s="169" t="s">
        <v>248</v>
      </c>
    </row>
    <row r="42" spans="2:14" ht="55.2" x14ac:dyDescent="0.25">
      <c r="B42" s="320"/>
      <c r="C42" s="325" t="s">
        <v>241</v>
      </c>
      <c r="D42" s="155" t="s">
        <v>229</v>
      </c>
      <c r="E42" s="156">
        <v>45043</v>
      </c>
      <c r="F42" s="159">
        <v>45056</v>
      </c>
      <c r="G42" s="157">
        <v>10</v>
      </c>
      <c r="H42" s="157">
        <v>80</v>
      </c>
      <c r="I42" s="159">
        <v>45057</v>
      </c>
      <c r="J42" s="159">
        <v>45070</v>
      </c>
      <c r="K42" s="157">
        <v>10</v>
      </c>
      <c r="L42" s="113">
        <f t="shared" si="0"/>
        <v>80</v>
      </c>
      <c r="M42" s="158" t="s">
        <v>246</v>
      </c>
    </row>
    <row r="43" spans="2:14" ht="14.4" x14ac:dyDescent="0.25">
      <c r="B43" s="320"/>
      <c r="C43" s="325"/>
      <c r="D43" s="147" t="s">
        <v>188</v>
      </c>
      <c r="E43" s="143">
        <v>45057</v>
      </c>
      <c r="F43" s="143">
        <v>45057</v>
      </c>
      <c r="G43" s="145">
        <v>1</v>
      </c>
      <c r="H43" s="145">
        <v>8</v>
      </c>
      <c r="I43" s="143">
        <v>45057</v>
      </c>
      <c r="J43" s="143">
        <v>45057</v>
      </c>
      <c r="K43" s="145">
        <v>1</v>
      </c>
      <c r="L43" s="113">
        <f t="shared" si="0"/>
        <v>8</v>
      </c>
      <c r="M43" s="169" t="s">
        <v>248</v>
      </c>
    </row>
    <row r="44" spans="2:14" ht="14.4" x14ac:dyDescent="0.25">
      <c r="B44" s="320"/>
      <c r="C44" s="325"/>
      <c r="D44" s="147" t="s">
        <v>230</v>
      </c>
      <c r="E44" s="143">
        <v>45043</v>
      </c>
      <c r="F44" s="144">
        <v>45056</v>
      </c>
      <c r="G44" s="145">
        <v>10</v>
      </c>
      <c r="H44" s="145">
        <v>80</v>
      </c>
      <c r="I44" s="144">
        <v>45061</v>
      </c>
      <c r="J44" s="144">
        <v>45070</v>
      </c>
      <c r="K44" s="145">
        <v>8</v>
      </c>
      <c r="L44" s="113">
        <f t="shared" si="0"/>
        <v>64</v>
      </c>
      <c r="M44" s="169" t="s">
        <v>248</v>
      </c>
    </row>
    <row r="45" spans="2:14" ht="14.4" x14ac:dyDescent="0.25">
      <c r="B45" s="320"/>
      <c r="C45" s="325"/>
      <c r="D45" s="147" t="s">
        <v>231</v>
      </c>
      <c r="E45" s="143">
        <v>45043</v>
      </c>
      <c r="F45" s="144">
        <v>45056</v>
      </c>
      <c r="G45" s="145">
        <v>10</v>
      </c>
      <c r="H45" s="145">
        <v>80</v>
      </c>
      <c r="I45" s="144">
        <v>45057</v>
      </c>
      <c r="J45" s="144">
        <v>45058</v>
      </c>
      <c r="K45" s="145">
        <v>2</v>
      </c>
      <c r="L45" s="113">
        <f t="shared" si="0"/>
        <v>16</v>
      </c>
      <c r="M45" s="169" t="s">
        <v>248</v>
      </c>
    </row>
    <row r="46" spans="2:14" ht="14.4" x14ac:dyDescent="0.25">
      <c r="B46" s="320"/>
      <c r="C46" s="325"/>
      <c r="D46" s="147" t="s">
        <v>232</v>
      </c>
      <c r="E46" s="143">
        <v>45043</v>
      </c>
      <c r="F46" s="144">
        <v>45056</v>
      </c>
      <c r="G46" s="145">
        <v>10</v>
      </c>
      <c r="H46" s="145">
        <v>80</v>
      </c>
      <c r="I46" s="144">
        <v>45061</v>
      </c>
      <c r="J46" s="144">
        <v>45070</v>
      </c>
      <c r="K46" s="145">
        <v>8</v>
      </c>
      <c r="L46" s="113">
        <f t="shared" si="0"/>
        <v>64</v>
      </c>
      <c r="M46" s="169" t="s">
        <v>248</v>
      </c>
    </row>
    <row r="47" spans="2:14" ht="55.2" x14ac:dyDescent="0.25">
      <c r="B47" s="320"/>
      <c r="C47" s="325"/>
      <c r="D47" s="147" t="s">
        <v>233</v>
      </c>
      <c r="E47" s="143">
        <v>45043</v>
      </c>
      <c r="F47" s="144">
        <v>45056</v>
      </c>
      <c r="G47" s="145">
        <v>10</v>
      </c>
      <c r="H47" s="145">
        <v>80</v>
      </c>
      <c r="I47" s="144">
        <v>45075</v>
      </c>
      <c r="J47" s="144">
        <v>45077</v>
      </c>
      <c r="K47" s="145">
        <v>3</v>
      </c>
      <c r="L47" s="113">
        <f t="shared" si="0"/>
        <v>24</v>
      </c>
      <c r="M47" s="146" t="s">
        <v>247</v>
      </c>
    </row>
    <row r="48" spans="2:14" ht="14.4" x14ac:dyDescent="0.25">
      <c r="B48" s="320"/>
      <c r="C48" s="325"/>
      <c r="D48" s="142" t="s">
        <v>234</v>
      </c>
      <c r="E48" s="143">
        <v>45057</v>
      </c>
      <c r="F48" s="144">
        <v>45057</v>
      </c>
      <c r="G48" s="145">
        <v>1</v>
      </c>
      <c r="H48" s="145">
        <v>8</v>
      </c>
      <c r="I48" s="143">
        <v>45057</v>
      </c>
      <c r="J48" s="143">
        <v>45057</v>
      </c>
      <c r="K48" s="145">
        <v>1</v>
      </c>
      <c r="L48" s="113">
        <f t="shared" si="0"/>
        <v>8</v>
      </c>
      <c r="M48" s="169" t="s">
        <v>248</v>
      </c>
    </row>
    <row r="49" spans="2:13" ht="14.4" x14ac:dyDescent="0.25">
      <c r="B49" s="320"/>
      <c r="C49" s="325"/>
      <c r="D49" s="142" t="s">
        <v>164</v>
      </c>
      <c r="E49" s="143">
        <v>45057</v>
      </c>
      <c r="F49" s="144">
        <v>45063</v>
      </c>
      <c r="G49" s="145">
        <v>5</v>
      </c>
      <c r="H49" s="145">
        <v>40</v>
      </c>
      <c r="I49" s="144">
        <v>45071</v>
      </c>
      <c r="J49" s="144">
        <v>45075</v>
      </c>
      <c r="K49" s="145">
        <v>3</v>
      </c>
      <c r="L49" s="113">
        <f t="shared" si="0"/>
        <v>24</v>
      </c>
      <c r="M49" s="169" t="s">
        <v>248</v>
      </c>
    </row>
    <row r="50" spans="2:13" ht="14.4" x14ac:dyDescent="0.25">
      <c r="B50" s="320"/>
      <c r="C50" s="325"/>
      <c r="D50" s="149" t="s">
        <v>188</v>
      </c>
      <c r="E50" s="143">
        <v>45064</v>
      </c>
      <c r="F50" s="144">
        <v>45064</v>
      </c>
      <c r="G50" s="145">
        <v>1</v>
      </c>
      <c r="H50" s="145">
        <v>8</v>
      </c>
      <c r="I50" s="143">
        <v>45064</v>
      </c>
      <c r="J50" s="143">
        <v>45064</v>
      </c>
      <c r="K50" s="145">
        <v>1</v>
      </c>
      <c r="L50" s="113">
        <f t="shared" si="0"/>
        <v>8</v>
      </c>
      <c r="M50" s="169" t="s">
        <v>248</v>
      </c>
    </row>
    <row r="51" spans="2:13" ht="14.4" customHeight="1" x14ac:dyDescent="0.25">
      <c r="B51" s="320"/>
      <c r="C51" s="318" t="s">
        <v>177</v>
      </c>
      <c r="D51" s="165" t="s">
        <v>235</v>
      </c>
      <c r="E51" s="166">
        <v>45064</v>
      </c>
      <c r="F51" s="167">
        <v>45071</v>
      </c>
      <c r="G51" s="168">
        <v>6</v>
      </c>
      <c r="H51" s="168">
        <v>48</v>
      </c>
      <c r="I51" s="167">
        <v>45071</v>
      </c>
      <c r="J51" s="167">
        <v>45079</v>
      </c>
      <c r="K51" s="168">
        <v>7</v>
      </c>
      <c r="L51" s="113">
        <f t="shared" si="0"/>
        <v>56</v>
      </c>
      <c r="M51" s="170" t="s">
        <v>248</v>
      </c>
    </row>
    <row r="52" spans="2:13" ht="14.4" x14ac:dyDescent="0.25">
      <c r="B52" s="320"/>
      <c r="C52" s="318"/>
      <c r="D52" s="147" t="s">
        <v>236</v>
      </c>
      <c r="E52" s="143">
        <v>45071</v>
      </c>
      <c r="F52" s="144">
        <v>45071</v>
      </c>
      <c r="G52" s="145">
        <v>1</v>
      </c>
      <c r="H52" s="145">
        <v>8</v>
      </c>
      <c r="I52" s="143">
        <v>45071</v>
      </c>
      <c r="J52" s="143">
        <v>45071</v>
      </c>
      <c r="K52" s="145">
        <v>1</v>
      </c>
      <c r="L52" s="113">
        <f t="shared" si="0"/>
        <v>8</v>
      </c>
      <c r="M52" s="169" t="s">
        <v>248</v>
      </c>
    </row>
    <row r="53" spans="2:13" ht="14.4" x14ac:dyDescent="0.25">
      <c r="B53" s="320"/>
      <c r="C53" s="318"/>
      <c r="D53" s="147" t="s">
        <v>237</v>
      </c>
      <c r="E53" s="143">
        <v>45072</v>
      </c>
      <c r="F53" s="144">
        <v>45077</v>
      </c>
      <c r="G53" s="145">
        <v>4</v>
      </c>
      <c r="H53" s="145">
        <v>32</v>
      </c>
      <c r="I53" s="144">
        <v>45082</v>
      </c>
      <c r="J53" s="144">
        <v>45086</v>
      </c>
      <c r="K53" s="145">
        <v>5</v>
      </c>
      <c r="L53" s="113">
        <f t="shared" si="0"/>
        <v>40</v>
      </c>
      <c r="M53" s="169" t="s">
        <v>248</v>
      </c>
    </row>
    <row r="54" spans="2:13" ht="14.4" x14ac:dyDescent="0.25">
      <c r="B54" s="320"/>
      <c r="C54" s="318"/>
      <c r="D54" s="142" t="s">
        <v>238</v>
      </c>
      <c r="E54" s="143">
        <v>45077</v>
      </c>
      <c r="F54" s="144">
        <v>45077</v>
      </c>
      <c r="G54" s="145">
        <v>1</v>
      </c>
      <c r="H54" s="145">
        <v>8</v>
      </c>
      <c r="I54" s="144">
        <v>45086</v>
      </c>
      <c r="J54" s="144">
        <v>45086</v>
      </c>
      <c r="K54" s="145">
        <v>1</v>
      </c>
      <c r="L54" s="113">
        <f t="shared" si="0"/>
        <v>8</v>
      </c>
      <c r="M54" s="169" t="s">
        <v>248</v>
      </c>
    </row>
    <row r="55" spans="2:13" ht="14.4" x14ac:dyDescent="0.25">
      <c r="B55" s="320"/>
      <c r="C55" s="318"/>
      <c r="D55" s="149" t="s">
        <v>239</v>
      </c>
      <c r="E55" s="143">
        <v>45078</v>
      </c>
      <c r="F55" s="144">
        <v>45092</v>
      </c>
      <c r="G55" s="145">
        <v>11</v>
      </c>
      <c r="H55" s="145">
        <v>88</v>
      </c>
      <c r="I55" s="144">
        <v>45079</v>
      </c>
      <c r="J55" s="144">
        <v>45093</v>
      </c>
      <c r="K55" s="145">
        <v>11</v>
      </c>
      <c r="L55" s="113">
        <f t="shared" si="0"/>
        <v>88</v>
      </c>
      <c r="M55" s="169" t="s">
        <v>248</v>
      </c>
    </row>
    <row r="56" spans="2:13" ht="14.4" x14ac:dyDescent="0.25">
      <c r="B56" s="320"/>
      <c r="C56" s="319" t="s">
        <v>240</v>
      </c>
      <c r="D56" s="319"/>
      <c r="E56" s="143">
        <v>45093</v>
      </c>
      <c r="F56" s="144">
        <v>45093</v>
      </c>
      <c r="G56" s="145">
        <v>1</v>
      </c>
      <c r="H56" s="145">
        <v>8</v>
      </c>
      <c r="I56" s="144">
        <v>45096</v>
      </c>
      <c r="J56" s="144">
        <v>45096</v>
      </c>
      <c r="K56" s="145">
        <v>1</v>
      </c>
      <c r="L56" s="113">
        <f t="shared" si="0"/>
        <v>8</v>
      </c>
      <c r="M56" s="169" t="s">
        <v>248</v>
      </c>
    </row>
  </sheetData>
  <mergeCells count="12">
    <mergeCell ref="M2:M3"/>
    <mergeCell ref="C51:C55"/>
    <mergeCell ref="C56:D56"/>
    <mergeCell ref="B9:B56"/>
    <mergeCell ref="C35:C41"/>
    <mergeCell ref="C9:C34"/>
    <mergeCell ref="C42:C50"/>
    <mergeCell ref="B4:C8"/>
    <mergeCell ref="B2:C3"/>
    <mergeCell ref="D2:D3"/>
    <mergeCell ref="E2:H2"/>
    <mergeCell ref="I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B1:O27"/>
  <sheetViews>
    <sheetView topLeftCell="C1" zoomScale="140" zoomScaleNormal="140" workbookViewId="0">
      <selection activeCell="K4" sqref="K4"/>
    </sheetView>
  </sheetViews>
  <sheetFormatPr baseColWidth="10" defaultRowHeight="13.8" x14ac:dyDescent="0.25"/>
  <cols>
    <col min="1" max="1" width="1.5" customWidth="1"/>
    <col min="2" max="2" width="4.5" bestFit="1" customWidth="1"/>
    <col min="3" max="3" width="15.796875" customWidth="1"/>
    <col min="4" max="4" width="9.69921875" bestFit="1" customWidth="1"/>
    <col min="5" max="5" width="10.3984375" bestFit="1" customWidth="1"/>
    <col min="6" max="6" width="9.19921875" customWidth="1"/>
    <col min="7" max="7" width="9.296875" bestFit="1" customWidth="1"/>
    <col min="8" max="9" width="10.09765625" bestFit="1" customWidth="1"/>
    <col min="10" max="10" width="4.59765625" bestFit="1" customWidth="1"/>
    <col min="11" max="11" width="10" customWidth="1"/>
    <col min="13" max="13" width="2.5" hidden="1" customWidth="1"/>
  </cols>
  <sheetData>
    <row r="1" spans="2:15" ht="14.4" thickBot="1" x14ac:dyDescent="0.3"/>
    <row r="2" spans="2:15" ht="55.8" customHeight="1" x14ac:dyDescent="0.25">
      <c r="B2" s="328" t="s">
        <v>5</v>
      </c>
      <c r="C2" s="329"/>
      <c r="D2" s="119" t="s">
        <v>182</v>
      </c>
      <c r="E2" s="119" t="s">
        <v>189</v>
      </c>
      <c r="F2" s="119" t="s">
        <v>190</v>
      </c>
      <c r="G2" s="119" t="s">
        <v>191</v>
      </c>
      <c r="H2" s="119" t="s">
        <v>192</v>
      </c>
      <c r="I2" s="119" t="s">
        <v>193</v>
      </c>
      <c r="J2" s="119" t="s">
        <v>141</v>
      </c>
      <c r="K2" s="119" t="s">
        <v>256</v>
      </c>
      <c r="L2" s="120" t="s">
        <v>194</v>
      </c>
      <c r="M2" s="121" t="s">
        <v>181</v>
      </c>
      <c r="N2" s="112"/>
    </row>
    <row r="3" spans="2:15" ht="15.6" x14ac:dyDescent="0.3">
      <c r="B3" s="330" t="s">
        <v>164</v>
      </c>
      <c r="C3" s="331"/>
      <c r="D3" s="139">
        <v>44956</v>
      </c>
      <c r="E3" s="140">
        <v>44960</v>
      </c>
      <c r="F3" s="141">
        <v>5</v>
      </c>
      <c r="G3" s="113">
        <f>(F3*4*2)</f>
        <v>40</v>
      </c>
      <c r="H3" s="105">
        <v>44956</v>
      </c>
      <c r="I3" s="106">
        <v>44959</v>
      </c>
      <c r="J3" s="141">
        <v>4</v>
      </c>
      <c r="K3" s="107">
        <f>COUNTIF('Comparativa - Fechas'!$I$4:$I$7,"&lt;&gt; 0")</f>
        <v>4</v>
      </c>
      <c r="L3" s="122">
        <f>Datos!$F$3</f>
        <v>23.999999999999996</v>
      </c>
      <c r="M3" s="123" t="s">
        <v>187</v>
      </c>
      <c r="N3" s="108"/>
    </row>
    <row r="4" spans="2:15" ht="15.6" x14ac:dyDescent="0.3">
      <c r="B4" s="332" t="s">
        <v>153</v>
      </c>
      <c r="C4" s="333"/>
      <c r="D4" s="139">
        <v>44956</v>
      </c>
      <c r="E4" s="177">
        <v>45079</v>
      </c>
      <c r="F4" s="141">
        <v>90</v>
      </c>
      <c r="G4" s="113">
        <f t="shared" ref="G4:G8" si="0">(F4*4*2)</f>
        <v>720</v>
      </c>
      <c r="H4" s="105">
        <f>'Comparativa - Fechas'!$B$4</f>
        <v>44956</v>
      </c>
      <c r="I4" s="106">
        <f>'Comparativa - Fechas'!$B$127</f>
        <v>45079</v>
      </c>
      <c r="J4" s="141">
        <v>90</v>
      </c>
      <c r="K4" s="107">
        <f>COUNTIF('Comparativa - Fechas'!$I$4:$I$127,"&lt;&gt; 0")</f>
        <v>97</v>
      </c>
      <c r="L4" s="122">
        <f>Datos!$F$4</f>
        <v>675</v>
      </c>
      <c r="M4" s="123"/>
      <c r="N4" s="108"/>
    </row>
    <row r="5" spans="2:15" ht="15.6" x14ac:dyDescent="0.3">
      <c r="B5" s="334" t="s">
        <v>153</v>
      </c>
      <c r="C5" s="176" t="s">
        <v>249</v>
      </c>
      <c r="D5" s="139">
        <v>44959</v>
      </c>
      <c r="E5" s="140">
        <v>45015</v>
      </c>
      <c r="F5" s="141">
        <v>41</v>
      </c>
      <c r="G5" s="113">
        <f t="shared" si="0"/>
        <v>328</v>
      </c>
      <c r="H5" s="105">
        <f>'Comparativa - Fechas'!$B$4</f>
        <v>44956</v>
      </c>
      <c r="I5" s="106">
        <f>'Comparativa - Fechas'!$B$102</f>
        <v>45054</v>
      </c>
      <c r="J5" s="141">
        <v>71</v>
      </c>
      <c r="K5" s="107">
        <f>COUNTIF('Comparativa - Fechas'!$I$4:$I$102,"&lt;&gt; 0")</f>
        <v>74</v>
      </c>
      <c r="L5" s="122">
        <f>Datos!$F$5</f>
        <v>500.58333333333331</v>
      </c>
      <c r="M5" s="123"/>
      <c r="N5" s="108"/>
    </row>
    <row r="6" spans="2:15" ht="15.6" x14ac:dyDescent="0.3">
      <c r="B6" s="335"/>
      <c r="C6" s="176" t="s">
        <v>156</v>
      </c>
      <c r="D6" s="139">
        <v>45033</v>
      </c>
      <c r="E6" s="140">
        <v>45043</v>
      </c>
      <c r="F6" s="141">
        <v>9</v>
      </c>
      <c r="G6" s="113">
        <f t="shared" si="0"/>
        <v>72</v>
      </c>
      <c r="H6" s="105">
        <f>'Comparativa - Fechas'!$B$103</f>
        <v>45055</v>
      </c>
      <c r="I6" s="106">
        <f>'Comparativa - Fechas'!$B$114</f>
        <v>45066</v>
      </c>
      <c r="J6" s="141">
        <v>9</v>
      </c>
      <c r="K6" s="107">
        <f>COUNTIF('Comparativa - Fechas'!$I$103:$I$114,"&lt;&gt; 0")</f>
        <v>10</v>
      </c>
      <c r="L6" s="122">
        <f>Datos!$F$6</f>
        <v>79.416666666666657</v>
      </c>
      <c r="M6" s="123"/>
      <c r="N6" s="108"/>
    </row>
    <row r="7" spans="2:15" ht="15.6" x14ac:dyDescent="0.3">
      <c r="B7" s="335"/>
      <c r="C7" s="176" t="s">
        <v>157</v>
      </c>
      <c r="D7" s="139">
        <v>45043</v>
      </c>
      <c r="E7" s="140">
        <v>45064</v>
      </c>
      <c r="F7" s="141">
        <v>16</v>
      </c>
      <c r="G7" s="113">
        <f t="shared" si="0"/>
        <v>128</v>
      </c>
      <c r="H7" s="105">
        <f>'Comparativa - Fechas'!$B$105</f>
        <v>45057</v>
      </c>
      <c r="I7" s="106">
        <f>'Comparativa - Fechas'!$B$118</f>
        <v>45070</v>
      </c>
      <c r="J7" s="141">
        <v>10</v>
      </c>
      <c r="K7" s="107">
        <f>COUNTIF('Comparativa - Fechas'!$I$105:$I$118,"&lt;&gt; 0")</f>
        <v>12</v>
      </c>
      <c r="L7" s="122">
        <f>Datos!$F$7</f>
        <v>89.25</v>
      </c>
      <c r="M7" s="123"/>
      <c r="N7" s="108"/>
    </row>
    <row r="8" spans="2:15" ht="16.2" thickBot="1" x14ac:dyDescent="0.35">
      <c r="B8" s="336"/>
      <c r="C8" s="178" t="s">
        <v>177</v>
      </c>
      <c r="D8" s="179">
        <v>45064</v>
      </c>
      <c r="E8" s="180">
        <v>45086</v>
      </c>
      <c r="F8" s="181">
        <v>17</v>
      </c>
      <c r="G8" s="118">
        <f t="shared" si="0"/>
        <v>136</v>
      </c>
      <c r="H8" s="188">
        <f>'Comparativa - Fechas'!$B$119</f>
        <v>45071</v>
      </c>
      <c r="I8" s="189">
        <f>'Comparativa - Fechas'!$B$127</f>
        <v>45079</v>
      </c>
      <c r="J8" s="181">
        <v>7</v>
      </c>
      <c r="K8" s="190">
        <f>COUNTIF('Comparativa - Fechas'!$I$119:$I$127,"&lt;&gt; 0")</f>
        <v>9</v>
      </c>
      <c r="L8" s="182">
        <f>Datos!$F$8</f>
        <v>71.5</v>
      </c>
      <c r="M8" s="123"/>
      <c r="N8" s="108"/>
    </row>
    <row r="9" spans="2:15" ht="15.6" x14ac:dyDescent="0.25">
      <c r="B9" s="124"/>
      <c r="C9" s="124"/>
      <c r="D9" s="125"/>
      <c r="E9" s="126"/>
      <c r="F9" s="127"/>
      <c r="G9" s="117"/>
      <c r="H9" s="125"/>
      <c r="I9" s="126"/>
      <c r="J9" s="126"/>
      <c r="K9" s="127"/>
      <c r="L9" s="117"/>
      <c r="M9" s="117"/>
      <c r="N9" s="108"/>
    </row>
    <row r="10" spans="2:15" ht="16.2" thickBot="1" x14ac:dyDescent="0.3">
      <c r="C10" s="128"/>
      <c r="D10" s="125"/>
      <c r="E10" s="125"/>
      <c r="F10" s="127"/>
      <c r="G10" s="117"/>
      <c r="H10" s="129"/>
      <c r="I10" s="125"/>
      <c r="J10" s="125"/>
      <c r="K10" s="127"/>
      <c r="L10" s="117"/>
      <c r="M10" s="117"/>
      <c r="N10" s="108"/>
    </row>
    <row r="11" spans="2:15" ht="15.6" x14ac:dyDescent="0.25">
      <c r="C11" s="128"/>
      <c r="D11" s="125"/>
      <c r="E11" s="125"/>
      <c r="F11" s="127"/>
      <c r="G11" s="117"/>
      <c r="H11" s="125"/>
      <c r="I11" s="125"/>
      <c r="J11" s="125"/>
      <c r="K11" s="127"/>
      <c r="L11" s="117"/>
      <c r="M11" s="117"/>
      <c r="N11" s="130"/>
      <c r="O11" s="131" t="s">
        <v>195</v>
      </c>
    </row>
    <row r="12" spans="2:15" ht="15.6" x14ac:dyDescent="0.25">
      <c r="C12" s="132"/>
      <c r="D12" s="125"/>
      <c r="E12" s="125"/>
      <c r="F12" s="127"/>
      <c r="G12" s="117"/>
      <c r="H12" s="125"/>
      <c r="I12" s="125"/>
      <c r="J12" s="125"/>
      <c r="K12" s="127"/>
      <c r="L12" s="117"/>
      <c r="M12" s="117"/>
      <c r="N12" s="133" t="s">
        <v>4</v>
      </c>
      <c r="O12" s="134">
        <f>G4-L4</f>
        <v>45</v>
      </c>
    </row>
    <row r="13" spans="2:15" ht="14.4" thickBot="1" x14ac:dyDescent="0.3">
      <c r="C13" s="135"/>
      <c r="D13" s="125"/>
      <c r="E13" s="125"/>
      <c r="F13" s="127"/>
      <c r="G13" s="117"/>
      <c r="H13" s="125"/>
      <c r="I13" s="125"/>
      <c r="J13" s="125"/>
      <c r="K13" s="127"/>
      <c r="L13" s="117"/>
      <c r="M13" s="117"/>
      <c r="N13" s="136" t="s">
        <v>141</v>
      </c>
      <c r="O13" s="137">
        <f>F4-K4</f>
        <v>-7</v>
      </c>
    </row>
    <row r="14" spans="2:15" ht="15.6" x14ac:dyDescent="0.25">
      <c r="C14" s="132"/>
      <c r="D14" s="125"/>
      <c r="E14" s="126"/>
      <c r="F14" s="127"/>
      <c r="G14" s="117"/>
      <c r="H14" s="125"/>
      <c r="I14" s="126"/>
      <c r="J14" s="126"/>
      <c r="K14" s="127"/>
      <c r="L14" s="117"/>
      <c r="M14" s="117"/>
      <c r="N14" s="108"/>
    </row>
    <row r="15" spans="2:15" ht="15.6" x14ac:dyDescent="0.25">
      <c r="C15" s="132"/>
      <c r="D15" s="125"/>
      <c r="E15" s="126"/>
      <c r="F15" s="127"/>
      <c r="G15" s="117"/>
      <c r="H15" s="125"/>
      <c r="I15" s="126"/>
      <c r="J15" s="126"/>
      <c r="K15" s="127"/>
      <c r="L15" s="117"/>
      <c r="M15" s="117"/>
      <c r="N15" s="108"/>
    </row>
    <row r="16" spans="2:15" ht="15.6" x14ac:dyDescent="0.25">
      <c r="C16" s="132"/>
      <c r="D16" s="125"/>
      <c r="E16" s="126"/>
      <c r="F16" s="127"/>
      <c r="G16" s="117"/>
      <c r="H16" s="125"/>
      <c r="I16" s="126"/>
      <c r="J16" s="126"/>
      <c r="K16" s="127"/>
      <c r="L16" s="117"/>
      <c r="M16" s="117"/>
      <c r="N16" s="108"/>
    </row>
    <row r="17" spans="3:14" ht="15.6" x14ac:dyDescent="0.25">
      <c r="C17" s="132"/>
      <c r="D17" s="125"/>
      <c r="E17" s="126"/>
      <c r="F17" s="127"/>
      <c r="G17" s="117"/>
      <c r="H17" s="125"/>
      <c r="I17" s="126"/>
      <c r="J17" s="126"/>
      <c r="K17" s="127"/>
      <c r="L17" s="117"/>
      <c r="M17" s="117"/>
      <c r="N17" s="108"/>
    </row>
    <row r="18" spans="3:14" ht="15.6" x14ac:dyDescent="0.25">
      <c r="C18" s="132"/>
      <c r="D18" s="125"/>
      <c r="E18" s="126"/>
      <c r="F18" s="127"/>
      <c r="G18" s="117"/>
      <c r="H18" s="125"/>
      <c r="I18" s="126"/>
      <c r="J18" s="126"/>
      <c r="K18" s="127"/>
      <c r="L18" s="117"/>
      <c r="M18" s="117"/>
      <c r="N18" s="108"/>
    </row>
    <row r="19" spans="3:14" ht="15.6" x14ac:dyDescent="0.25">
      <c r="C19" s="132"/>
      <c r="D19" s="125"/>
      <c r="E19" s="126"/>
      <c r="F19" s="127"/>
      <c r="G19" s="117"/>
      <c r="H19" s="125"/>
      <c r="I19" s="126"/>
      <c r="J19" s="126"/>
      <c r="K19" s="127"/>
      <c r="L19" s="117"/>
      <c r="M19" s="117"/>
      <c r="N19" s="108"/>
    </row>
    <row r="20" spans="3:14" ht="15.6" x14ac:dyDescent="0.25">
      <c r="C20" s="132"/>
      <c r="D20" s="125"/>
      <c r="E20" s="126"/>
      <c r="F20" s="127"/>
      <c r="G20" s="117"/>
      <c r="H20" s="125"/>
      <c r="I20" s="126"/>
      <c r="J20" s="126"/>
      <c r="K20" s="127"/>
      <c r="L20" s="117"/>
      <c r="M20" s="117"/>
      <c r="N20" s="108"/>
    </row>
    <row r="21" spans="3:14" x14ac:dyDescent="0.25">
      <c r="C21" s="138"/>
      <c r="D21" s="125"/>
      <c r="E21" s="126"/>
      <c r="F21" s="127"/>
      <c r="G21" s="117"/>
      <c r="H21" s="125"/>
      <c r="I21" s="126"/>
      <c r="J21" s="126"/>
      <c r="K21" s="127"/>
      <c r="L21" s="117"/>
      <c r="M21" s="117"/>
      <c r="N21" s="108"/>
    </row>
    <row r="22" spans="3:14" x14ac:dyDescent="0.25">
      <c r="C22" s="138"/>
      <c r="D22" s="125"/>
      <c r="E22" s="126"/>
      <c r="F22" s="127"/>
      <c r="G22" s="117"/>
      <c r="H22" s="125"/>
      <c r="I22" s="126"/>
      <c r="J22" s="126"/>
      <c r="K22" s="127"/>
      <c r="L22" s="117"/>
      <c r="M22" s="117"/>
      <c r="N22" s="108"/>
    </row>
    <row r="23" spans="3:14" x14ac:dyDescent="0.25">
      <c r="C23" s="138"/>
      <c r="D23" s="125"/>
      <c r="E23" s="126"/>
      <c r="F23" s="127"/>
      <c r="G23" s="117"/>
      <c r="H23" s="125"/>
      <c r="I23" s="126"/>
      <c r="J23" s="126"/>
      <c r="K23" s="127"/>
      <c r="L23" s="117"/>
      <c r="M23" s="117"/>
      <c r="N23" s="108"/>
    </row>
    <row r="24" spans="3:14" x14ac:dyDescent="0.25">
      <c r="C24" s="138"/>
      <c r="D24" s="125"/>
      <c r="E24" s="126"/>
      <c r="F24" s="127"/>
      <c r="G24" s="117"/>
      <c r="H24" s="125"/>
      <c r="I24" s="126"/>
      <c r="J24" s="126"/>
      <c r="K24" s="127"/>
      <c r="L24" s="117"/>
      <c r="M24" s="117"/>
      <c r="N24" s="108"/>
    </row>
    <row r="25" spans="3:14" x14ac:dyDescent="0.25">
      <c r="C25" s="138"/>
      <c r="D25" s="125"/>
      <c r="E25" s="126"/>
      <c r="F25" s="127"/>
      <c r="G25" s="117"/>
      <c r="H25" s="125"/>
      <c r="I25" s="126"/>
      <c r="J25" s="126"/>
      <c r="K25" s="127"/>
      <c r="L25" s="117"/>
      <c r="M25" s="117"/>
      <c r="N25" s="108"/>
    </row>
    <row r="26" spans="3:14" x14ac:dyDescent="0.25">
      <c r="C26" s="138"/>
      <c r="D26" s="125"/>
      <c r="E26" s="126"/>
      <c r="F26" s="127"/>
      <c r="G26" s="117"/>
      <c r="H26" s="125"/>
      <c r="I26" s="126"/>
      <c r="J26" s="126"/>
      <c r="K26" s="127"/>
      <c r="L26" s="117"/>
      <c r="M26" s="117"/>
      <c r="N26" s="108"/>
    </row>
    <row r="27" spans="3:14" x14ac:dyDescent="0.25">
      <c r="C27" s="110"/>
      <c r="D27" s="108"/>
      <c r="E27" s="108"/>
      <c r="F27" s="108"/>
      <c r="G27" s="108"/>
      <c r="H27" s="108"/>
      <c r="I27" s="108"/>
      <c r="J27" s="108"/>
      <c r="K27" s="108"/>
      <c r="L27" s="108"/>
      <c r="M27" s="108"/>
      <c r="N27" s="108"/>
    </row>
  </sheetData>
  <mergeCells count="4">
    <mergeCell ref="B2:C2"/>
    <mergeCell ref="B3:C3"/>
    <mergeCell ref="B4:C4"/>
    <mergeCell ref="B5:B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M21"/>
  <sheetViews>
    <sheetView tabSelected="1" workbookViewId="0">
      <selection activeCell="L20" sqref="L20"/>
    </sheetView>
  </sheetViews>
  <sheetFormatPr baseColWidth="10" defaultColWidth="9" defaultRowHeight="15.6" x14ac:dyDescent="0.3"/>
  <cols>
    <col min="1" max="1" width="9" style="9"/>
    <col min="2" max="2" width="10.3984375" style="8" bestFit="1" customWidth="1"/>
    <col min="3" max="3" width="13.19921875" style="8" customWidth="1"/>
    <col min="4" max="5" width="9" style="195"/>
    <col min="6" max="6" width="9" style="196"/>
    <col min="7" max="7" width="11.8984375" style="8" customWidth="1"/>
    <col min="8" max="8" width="9" style="8"/>
    <col min="9" max="9" width="10.5" style="8" customWidth="1"/>
    <col min="10" max="10" width="14" style="8" customWidth="1"/>
    <col min="11" max="11" width="12.19921875" style="8" customWidth="1"/>
    <col min="12" max="12" width="11.69921875" style="8" customWidth="1"/>
    <col min="13" max="15" width="9" style="8"/>
    <col min="16" max="16" width="19.3984375" style="8" customWidth="1"/>
    <col min="17" max="16384" width="9" style="8"/>
  </cols>
  <sheetData>
    <row r="1" spans="1:13" ht="31.2" x14ac:dyDescent="0.3">
      <c r="A1" s="342" t="s">
        <v>162</v>
      </c>
      <c r="B1" s="342" t="s">
        <v>3</v>
      </c>
      <c r="C1" s="342" t="s">
        <v>159</v>
      </c>
      <c r="D1" s="343" t="s">
        <v>7</v>
      </c>
      <c r="E1" s="343" t="s">
        <v>95</v>
      </c>
      <c r="F1" s="344" t="s">
        <v>163</v>
      </c>
      <c r="H1" s="10" t="s">
        <v>162</v>
      </c>
      <c r="I1" s="11" t="s">
        <v>3</v>
      </c>
      <c r="J1" s="11" t="s">
        <v>159</v>
      </c>
      <c r="K1" s="11" t="s">
        <v>7</v>
      </c>
      <c r="L1" s="11" t="s">
        <v>95</v>
      </c>
      <c r="M1" s="12" t="s">
        <v>163</v>
      </c>
    </row>
    <row r="2" spans="1:13" x14ac:dyDescent="0.3">
      <c r="A2" s="345">
        <v>0</v>
      </c>
      <c r="B2" s="346">
        <v>44607</v>
      </c>
      <c r="C2" s="347" t="s">
        <v>164</v>
      </c>
      <c r="D2" s="348">
        <v>0.375</v>
      </c>
      <c r="E2" s="348">
        <v>0.4375</v>
      </c>
      <c r="F2" s="349">
        <f>(E2-D2)*24</f>
        <v>1.5</v>
      </c>
      <c r="G2" s="18"/>
      <c r="H2" s="13">
        <v>0</v>
      </c>
      <c r="I2" s="64">
        <v>44959</v>
      </c>
      <c r="J2" s="64" t="s">
        <v>154</v>
      </c>
      <c r="K2" s="65">
        <v>0.39097222222222222</v>
      </c>
      <c r="L2" s="65">
        <v>0.3979166666666667</v>
      </c>
      <c r="M2" s="66">
        <f>(L2-K2)*24</f>
        <v>0.16666666666666741</v>
      </c>
    </row>
    <row r="3" spans="1:13" x14ac:dyDescent="0.3">
      <c r="A3" s="345">
        <v>1</v>
      </c>
      <c r="B3" s="346">
        <v>44917</v>
      </c>
      <c r="C3" s="347"/>
      <c r="D3" s="348">
        <v>0</v>
      </c>
      <c r="E3" s="348">
        <v>0</v>
      </c>
      <c r="F3" s="349">
        <f t="shared" ref="F3:F17" si="0">(E3-D3)*24</f>
        <v>0</v>
      </c>
      <c r="G3" s="18"/>
      <c r="H3" s="13">
        <v>1</v>
      </c>
      <c r="I3" s="64">
        <v>45050</v>
      </c>
      <c r="J3" s="64" t="s">
        <v>154</v>
      </c>
      <c r="K3" s="65">
        <v>0.40277777777777773</v>
      </c>
      <c r="L3" s="65">
        <v>0.40972222222222227</v>
      </c>
      <c r="M3" s="66">
        <f t="shared" ref="M3:M5" si="1">(L3-K3)*24</f>
        <v>0.16666666666666874</v>
      </c>
    </row>
    <row r="4" spans="1:13" x14ac:dyDescent="0.3">
      <c r="A4" s="345">
        <v>2</v>
      </c>
      <c r="B4" s="346">
        <v>44959</v>
      </c>
      <c r="C4" s="347"/>
      <c r="D4" s="348">
        <v>0.55208333333333337</v>
      </c>
      <c r="E4" s="348">
        <v>0.5625</v>
      </c>
      <c r="F4" s="349">
        <f t="shared" si="0"/>
        <v>0.24999999999999911</v>
      </c>
      <c r="G4" s="18"/>
      <c r="H4" s="13">
        <v>2</v>
      </c>
      <c r="I4" s="64">
        <v>45057</v>
      </c>
      <c r="J4" s="67" t="s">
        <v>157</v>
      </c>
      <c r="K4" s="65">
        <v>0.39583333333333331</v>
      </c>
      <c r="L4" s="65">
        <v>0.40416666666666662</v>
      </c>
      <c r="M4" s="66">
        <f t="shared" si="1"/>
        <v>0.19999999999999929</v>
      </c>
    </row>
    <row r="5" spans="1:13" x14ac:dyDescent="0.3">
      <c r="A5" s="345">
        <v>3</v>
      </c>
      <c r="B5" s="346">
        <v>44964</v>
      </c>
      <c r="C5" s="347"/>
      <c r="D5" s="348">
        <v>0.3576388888888889</v>
      </c>
      <c r="E5" s="348">
        <v>0.39583333333333331</v>
      </c>
      <c r="F5" s="349">
        <f t="shared" si="0"/>
        <v>0.91666666666666607</v>
      </c>
      <c r="G5" s="18"/>
      <c r="H5" s="61">
        <v>3</v>
      </c>
      <c r="I5" s="64">
        <v>45079</v>
      </c>
      <c r="J5" s="64" t="s">
        <v>177</v>
      </c>
      <c r="K5" s="65">
        <v>7.6388888888888895E-2</v>
      </c>
      <c r="L5" s="65">
        <v>9.0277777777777776E-2</v>
      </c>
      <c r="M5" s="66">
        <f t="shared" si="1"/>
        <v>0.33333333333333315</v>
      </c>
    </row>
    <row r="6" spans="1:13" x14ac:dyDescent="0.3">
      <c r="A6" s="350">
        <v>4</v>
      </c>
      <c r="B6" s="351">
        <v>44966</v>
      </c>
      <c r="C6" s="347"/>
      <c r="D6" s="352">
        <v>0.36458333333333331</v>
      </c>
      <c r="E6" s="352">
        <v>0.39097222222222222</v>
      </c>
      <c r="F6" s="353">
        <f>(E6-D6)*24</f>
        <v>0.63333333333333375</v>
      </c>
      <c r="G6" s="18"/>
      <c r="H6" s="9"/>
      <c r="I6" s="200"/>
      <c r="J6" s="200"/>
      <c r="K6" s="337" t="s">
        <v>165</v>
      </c>
      <c r="L6" s="337"/>
      <c r="M6" s="18">
        <f>SUM(M2:M5)</f>
        <v>0.86666666666666858</v>
      </c>
    </row>
    <row r="7" spans="1:13" x14ac:dyDescent="0.3">
      <c r="A7" s="350"/>
      <c r="B7" s="351"/>
      <c r="C7" s="354" t="s">
        <v>254</v>
      </c>
      <c r="D7" s="352"/>
      <c r="E7" s="352"/>
      <c r="F7" s="353"/>
      <c r="G7" s="18"/>
      <c r="K7" s="337"/>
      <c r="L7" s="337"/>
      <c r="M7" s="18"/>
    </row>
    <row r="8" spans="1:13" x14ac:dyDescent="0.3">
      <c r="A8" s="345">
        <v>5</v>
      </c>
      <c r="B8" s="346">
        <v>44973</v>
      </c>
      <c r="C8" s="354"/>
      <c r="D8" s="348">
        <v>0.3611111111111111</v>
      </c>
      <c r="E8" s="348">
        <v>0.41111111111111115</v>
      </c>
      <c r="F8" s="349">
        <f t="shared" si="0"/>
        <v>1.2000000000000011</v>
      </c>
      <c r="G8" s="18"/>
    </row>
    <row r="9" spans="1:13" x14ac:dyDescent="0.3">
      <c r="A9" s="345">
        <v>6</v>
      </c>
      <c r="B9" s="346">
        <v>44994</v>
      </c>
      <c r="C9" s="354"/>
      <c r="D9" s="348">
        <v>0.3659722222222222</v>
      </c>
      <c r="E9" s="348">
        <v>0.41666666666666669</v>
      </c>
      <c r="F9" s="349">
        <f t="shared" si="0"/>
        <v>1.2166666666666677</v>
      </c>
      <c r="G9" s="18"/>
    </row>
    <row r="10" spans="1:13" x14ac:dyDescent="0.3">
      <c r="A10" s="345">
        <v>7</v>
      </c>
      <c r="B10" s="346">
        <v>45015</v>
      </c>
      <c r="C10" s="354"/>
      <c r="D10" s="348">
        <v>0.3611111111111111</v>
      </c>
      <c r="E10" s="348">
        <v>0.41666666666666669</v>
      </c>
      <c r="F10" s="349">
        <f t="shared" si="0"/>
        <v>1.3333333333333339</v>
      </c>
      <c r="G10" s="18"/>
    </row>
    <row r="11" spans="1:13" x14ac:dyDescent="0.3">
      <c r="A11" s="345">
        <v>8</v>
      </c>
      <c r="B11" s="346">
        <v>45036</v>
      </c>
      <c r="C11" s="354"/>
      <c r="D11" s="348">
        <v>8.3333333333333329E-2</v>
      </c>
      <c r="E11" s="348">
        <v>0.10416666666666667</v>
      </c>
      <c r="F11" s="349">
        <f t="shared" si="0"/>
        <v>0.50000000000000022</v>
      </c>
      <c r="G11" s="18"/>
    </row>
    <row r="12" spans="1:13" x14ac:dyDescent="0.3">
      <c r="A12" s="345">
        <v>9</v>
      </c>
      <c r="B12" s="346">
        <v>45050</v>
      </c>
      <c r="C12" s="354"/>
      <c r="D12" s="348">
        <v>0.375</v>
      </c>
      <c r="E12" s="348">
        <v>0.40277777777777773</v>
      </c>
      <c r="F12" s="349">
        <f t="shared" si="0"/>
        <v>0.66666666666666563</v>
      </c>
      <c r="G12" s="18"/>
    </row>
    <row r="13" spans="1:13" ht="14.25" customHeight="1" x14ac:dyDescent="0.3">
      <c r="A13" s="345">
        <v>10</v>
      </c>
      <c r="B13" s="346">
        <v>45057</v>
      </c>
      <c r="C13" s="354"/>
      <c r="D13" s="348">
        <v>0.3611111111111111</v>
      </c>
      <c r="E13" s="348">
        <v>0.39583333333333331</v>
      </c>
      <c r="F13" s="349">
        <f t="shared" si="0"/>
        <v>0.83333333333333304</v>
      </c>
      <c r="G13" s="18"/>
    </row>
    <row r="14" spans="1:13" x14ac:dyDescent="0.3">
      <c r="A14" s="345">
        <v>11</v>
      </c>
      <c r="B14" s="346">
        <v>45064</v>
      </c>
      <c r="C14" s="355" t="s">
        <v>157</v>
      </c>
      <c r="D14" s="348">
        <v>0.3611111111111111</v>
      </c>
      <c r="E14" s="348">
        <v>0.41666666666666669</v>
      </c>
      <c r="F14" s="349">
        <f t="shared" si="0"/>
        <v>1.3333333333333339</v>
      </c>
      <c r="G14" s="18"/>
    </row>
    <row r="15" spans="1:13" ht="31.2" x14ac:dyDescent="0.3">
      <c r="A15" s="345">
        <v>12</v>
      </c>
      <c r="B15" s="346">
        <v>45072</v>
      </c>
      <c r="C15" s="356" t="s">
        <v>253</v>
      </c>
      <c r="D15" s="348">
        <v>4.1666666666666664E-2</v>
      </c>
      <c r="E15" s="348">
        <v>0.125</v>
      </c>
      <c r="F15" s="349">
        <f t="shared" si="0"/>
        <v>2</v>
      </c>
      <c r="G15" s="18"/>
      <c r="J15" s="62" t="s">
        <v>166</v>
      </c>
      <c r="K15" s="62" t="s">
        <v>167</v>
      </c>
      <c r="L15" s="62" t="s">
        <v>168</v>
      </c>
      <c r="M15" s="62" t="s">
        <v>169</v>
      </c>
    </row>
    <row r="16" spans="1:13" x14ac:dyDescent="0.3">
      <c r="A16" s="345">
        <v>13</v>
      </c>
      <c r="B16" s="346">
        <v>45078</v>
      </c>
      <c r="C16" s="351" t="s">
        <v>177</v>
      </c>
      <c r="D16" s="348">
        <v>0.36458333333333331</v>
      </c>
      <c r="E16" s="348">
        <v>0.40625</v>
      </c>
      <c r="F16" s="349">
        <f t="shared" si="0"/>
        <v>1.0000000000000004</v>
      </c>
      <c r="G16" s="18"/>
      <c r="J16" s="63" t="s">
        <v>170</v>
      </c>
      <c r="K16" s="197">
        <v>44607</v>
      </c>
      <c r="L16" s="197">
        <v>44966</v>
      </c>
      <c r="M16" s="199">
        <f>SUM(F2:F7)</f>
        <v>3.2999999999999989</v>
      </c>
    </row>
    <row r="17" spans="1:13" x14ac:dyDescent="0.3">
      <c r="A17" s="345">
        <v>14</v>
      </c>
      <c r="B17" s="346">
        <v>45079</v>
      </c>
      <c r="C17" s="351"/>
      <c r="D17" s="348">
        <v>0.51736111111111105</v>
      </c>
      <c r="E17" s="348">
        <v>0.53472222222222221</v>
      </c>
      <c r="F17" s="349">
        <f t="shared" si="0"/>
        <v>0.41666666666666785</v>
      </c>
      <c r="G17" s="18"/>
      <c r="J17" s="63"/>
      <c r="K17" s="338"/>
      <c r="L17" s="338"/>
      <c r="M17" s="339"/>
    </row>
    <row r="18" spans="1:13" ht="16.2" thickBot="1" x14ac:dyDescent="0.35">
      <c r="D18" s="340" t="s">
        <v>171</v>
      </c>
      <c r="E18" s="341"/>
      <c r="F18" s="194">
        <f>SUM(F2:F16)</f>
        <v>13.383333333333335</v>
      </c>
      <c r="J18" s="63" t="s">
        <v>255</v>
      </c>
      <c r="K18" s="198">
        <v>44966</v>
      </c>
      <c r="L18" s="198">
        <v>45057</v>
      </c>
      <c r="M18" s="18">
        <f>SUM(F6:F13)</f>
        <v>6.3833333333333355</v>
      </c>
    </row>
    <row r="19" spans="1:13" x14ac:dyDescent="0.3">
      <c r="J19" s="63" t="s">
        <v>156</v>
      </c>
      <c r="K19" s="198">
        <v>45072</v>
      </c>
      <c r="L19" s="198">
        <v>45072</v>
      </c>
      <c r="M19" s="18">
        <f>F15</f>
        <v>2</v>
      </c>
    </row>
    <row r="20" spans="1:13" x14ac:dyDescent="0.3">
      <c r="J20" s="63" t="s">
        <v>157</v>
      </c>
      <c r="K20" s="198">
        <v>45064</v>
      </c>
      <c r="L20" s="198">
        <v>45072</v>
      </c>
      <c r="M20" s="18">
        <f>SUM(F14:F15)</f>
        <v>3.3333333333333339</v>
      </c>
    </row>
    <row r="21" spans="1:13" x14ac:dyDescent="0.3">
      <c r="J21" s="63" t="s">
        <v>177</v>
      </c>
      <c r="K21" s="198">
        <v>45078</v>
      </c>
      <c r="L21" s="198">
        <v>45078</v>
      </c>
      <c r="M21" s="18">
        <f>SUM(F16)</f>
        <v>1.0000000000000004</v>
      </c>
    </row>
  </sheetData>
  <mergeCells count="11">
    <mergeCell ref="K7:L7"/>
    <mergeCell ref="D18:E18"/>
    <mergeCell ref="A6:A7"/>
    <mergeCell ref="B6:B7"/>
    <mergeCell ref="C2:C6"/>
    <mergeCell ref="D6:D7"/>
    <mergeCell ref="E6:E7"/>
    <mergeCell ref="F6:F7"/>
    <mergeCell ref="C7:C13"/>
    <mergeCell ref="K6:L6"/>
    <mergeCell ref="C16:C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dbad032-909f-4c71-89f6-83336807a985">
      <Terms xmlns="http://schemas.microsoft.com/office/infopath/2007/PartnerControls"/>
    </lcf76f155ced4ddcb4097134ff3c332f>
    <TaxCatchAll xmlns="b7410b2f-1613-43af-ada5-42bc22b852f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A5F2360D338CD44A1F157DB2B4082B5" ma:contentTypeVersion="9" ma:contentTypeDescription="Create a new document." ma:contentTypeScope="" ma:versionID="f43771811693c9e3758bf5970b3aae20">
  <xsd:schema xmlns:xsd="http://www.w3.org/2001/XMLSchema" xmlns:xs="http://www.w3.org/2001/XMLSchema" xmlns:p="http://schemas.microsoft.com/office/2006/metadata/properties" xmlns:ns2="cdbad032-909f-4c71-89f6-83336807a985" xmlns:ns3="b7410b2f-1613-43af-ada5-42bc22b852fd" targetNamespace="http://schemas.microsoft.com/office/2006/metadata/properties" ma:root="true" ma:fieldsID="d0c018df5268cb73acc638a2f1f2f683" ns2:_="" ns3:_="">
    <xsd:import namespace="cdbad032-909f-4c71-89f6-83336807a985"/>
    <xsd:import namespace="b7410b2f-1613-43af-ada5-42bc22b852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bad032-909f-4c71-89f6-83336807a9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2b61bc0c-9156-412f-b605-57ff87b11ec1" ma:termSetId="09814cd3-568e-fe90-9814-8d621ff8fb84" ma:anchorId="fba54fb3-c3e1-fe81-a776-ca4b69148c4d" ma:open="true" ma:isKeyword="false">
      <xsd:complexType>
        <xsd:sequence>
          <xsd:element ref="pc:Terms" minOccurs="0" maxOccurs="1"/>
        </xsd:sequence>
      </xsd:complex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410b2f-1613-43af-ada5-42bc22b852f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c3b7af98-d20b-41f5-91b6-27450289c688}" ma:internalName="TaxCatchAll" ma:showField="CatchAllData" ma:web="b7410b2f-1613-43af-ada5-42bc22b852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5A1154-3D9A-4DA9-AA32-A499FC13B0BE}">
  <ds:schemaRefs>
    <ds:schemaRef ds:uri="http://schemas.microsoft.com/office/2006/metadata/properties"/>
    <ds:schemaRef ds:uri="http://schemas.microsoft.com/office/infopath/2007/PartnerControls"/>
    <ds:schemaRef ds:uri="cdbad032-909f-4c71-89f6-83336807a985"/>
    <ds:schemaRef ds:uri="b7410b2f-1613-43af-ada5-42bc22b852fd"/>
  </ds:schemaRefs>
</ds:datastoreItem>
</file>

<file path=customXml/itemProps2.xml><?xml version="1.0" encoding="utf-8"?>
<ds:datastoreItem xmlns:ds="http://schemas.openxmlformats.org/officeDocument/2006/customXml" ds:itemID="{9B535DDC-B55B-40F7-9BB6-49EF285B1063}">
  <ds:schemaRefs>
    <ds:schemaRef ds:uri="http://schemas.microsoft.com/sharepoint/v3/contenttype/forms"/>
  </ds:schemaRefs>
</ds:datastoreItem>
</file>

<file path=customXml/itemProps3.xml><?xml version="1.0" encoding="utf-8"?>
<ds:datastoreItem xmlns:ds="http://schemas.openxmlformats.org/officeDocument/2006/customXml" ds:itemID="{4BDC2405-1BF6-4EC7-BAA7-25E285CD0F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bad032-909f-4c71-89f6-83336807a985"/>
    <ds:schemaRef ds:uri="b7410b2f-1613-43af-ada5-42bc22b852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Comparativa - Fechas</vt:lpstr>
      <vt:lpstr>Ana</vt:lpstr>
      <vt:lpstr>Miguel</vt:lpstr>
      <vt:lpstr>Dias y horas</vt:lpstr>
      <vt:lpstr>Datos</vt:lpstr>
      <vt:lpstr>Datos CN</vt:lpstr>
      <vt:lpstr>Costos</vt:lpstr>
      <vt:lpstr>Comparativa</vt:lpstr>
      <vt:lpstr>Resumen</vt:lpstr>
      <vt:lpstr>Minutas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Alex_Acuna</dc:creator>
  <cp:keywords/>
  <dc:description/>
  <cp:lastModifiedBy>ana paulina lopez cazares</cp:lastModifiedBy>
  <cp:revision/>
  <dcterms:created xsi:type="dcterms:W3CDTF">2021-09-17T18:14:09Z</dcterms:created>
  <dcterms:modified xsi:type="dcterms:W3CDTF">2023-06-04T06:08:06Z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0x0101006A5F2360D338CD44A1F157DB2B4082B5</vt:lpwstr>
  </property>
  <property fmtid="{D5CDD505-2E9C-101B-9397-08002B2CF9AE}" pid="3" name="MediaServiceImageTags">
    <vt:lpwstr/>
  </property>
</Properties>
</file>